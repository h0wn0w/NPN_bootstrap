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225" codeName="{B7FE6334-C1A2-E50D-BD3D-5F4D41BBC2E3}"/>
  <workbookPr codeName="ThisWorkbook" checkCompatibility="1" autoCompressPictures="0"/>
  <bookViews>
    <workbookView xWindow="940" yWindow="0" windowWidth="29880" windowHeight="20400"/>
  </bookViews>
  <sheets>
    <sheet name="Paste here" sheetId="3" r:id="rId1"/>
    <sheet name="Results Overview" sheetId="5" r:id="rId2"/>
  </sheets>
  <definedNames>
    <definedName name="OLE_LINK2" localSheetId="0">'Paste here'!#REF!</definedName>
    <definedName name="_xlnm.Print_Area" localSheetId="1">'Results Overview'!$A$1:$E$66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5" l="1"/>
  <c r="B4" i="5"/>
  <c r="E1" i="5"/>
  <c r="G50" i="5"/>
  <c r="G53" i="5"/>
  <c r="G61" i="5"/>
  <c r="G62" i="5"/>
  <c r="G60" i="5"/>
  <c r="D61" i="5"/>
  <c r="D60" i="5"/>
  <c r="G35" i="5"/>
  <c r="E35" i="5"/>
  <c r="G28" i="5"/>
  <c r="G12" i="5"/>
  <c r="D62" i="5"/>
  <c r="G56" i="5"/>
  <c r="D56" i="5"/>
  <c r="G55" i="5"/>
  <c r="D55" i="5"/>
  <c r="D53" i="5"/>
  <c r="G52" i="5"/>
  <c r="D52" i="5"/>
  <c r="G51" i="5"/>
  <c r="D51" i="5"/>
  <c r="D50" i="5"/>
  <c r="G48" i="5"/>
  <c r="D48" i="5"/>
  <c r="G43" i="5"/>
  <c r="D43" i="5"/>
  <c r="G42" i="5"/>
  <c r="D42" i="5"/>
  <c r="G41" i="5"/>
  <c r="D41" i="5"/>
  <c r="G38" i="5"/>
  <c r="D38" i="5"/>
  <c r="G36" i="5"/>
  <c r="D36" i="5"/>
  <c r="D35" i="5"/>
  <c r="G34" i="5"/>
  <c r="D34" i="5"/>
  <c r="G33" i="5"/>
  <c r="D33" i="5"/>
  <c r="G32" i="5"/>
  <c r="D32" i="5"/>
  <c r="G31" i="5"/>
  <c r="D31" i="5"/>
  <c r="D28" i="5"/>
  <c r="G27" i="5"/>
  <c r="D27" i="5"/>
  <c r="G23" i="5"/>
  <c r="D23" i="5"/>
  <c r="G22" i="5"/>
  <c r="D22" i="5"/>
  <c r="G21" i="5"/>
  <c r="D21" i="5"/>
  <c r="G13" i="5"/>
  <c r="D13" i="5"/>
  <c r="D12" i="5"/>
  <c r="E12" i="5"/>
  <c r="E62" i="5"/>
  <c r="E61" i="5"/>
  <c r="E60" i="5"/>
  <c r="H62" i="5"/>
  <c r="H61" i="5"/>
  <c r="H60" i="5"/>
  <c r="H56" i="5"/>
  <c r="H55" i="5"/>
  <c r="H53" i="5"/>
  <c r="H52" i="5"/>
  <c r="H51" i="5"/>
  <c r="H50" i="5"/>
  <c r="H48" i="5"/>
  <c r="H43" i="5"/>
  <c r="H42" i="5"/>
  <c r="H41" i="5"/>
  <c r="H38" i="5"/>
  <c r="H36" i="5"/>
  <c r="H35" i="5"/>
  <c r="H34" i="5"/>
  <c r="H33" i="5"/>
  <c r="H32" i="5"/>
  <c r="H31" i="5"/>
  <c r="H28" i="5"/>
  <c r="H27" i="5"/>
  <c r="H23" i="5"/>
  <c r="H22" i="5"/>
  <c r="H21" i="5"/>
  <c r="H13" i="5"/>
  <c r="H12" i="5"/>
  <c r="E56" i="5"/>
  <c r="B3" i="5"/>
  <c r="B56" i="5"/>
  <c r="B55" i="5"/>
  <c r="B37" i="5"/>
  <c r="E37" i="5"/>
  <c r="E55" i="5"/>
  <c r="E13" i="5"/>
  <c r="B16" i="5"/>
  <c r="E21" i="5"/>
  <c r="B28" i="5"/>
  <c r="B27" i="5"/>
  <c r="E53" i="5"/>
  <c r="E52" i="5"/>
  <c r="E51" i="5"/>
  <c r="E50" i="5"/>
  <c r="E48" i="5"/>
  <c r="E43" i="5"/>
  <c r="E42" i="5"/>
  <c r="E41" i="5"/>
  <c r="E38" i="5"/>
  <c r="E36" i="5"/>
  <c r="E34" i="5"/>
  <c r="B62" i="5"/>
  <c r="B61" i="5"/>
  <c r="B60" i="5"/>
  <c r="B53" i="5"/>
  <c r="B52" i="5"/>
  <c r="B51" i="5"/>
  <c r="B50" i="5"/>
  <c r="B48" i="5"/>
  <c r="B43" i="5"/>
  <c r="B42" i="5"/>
  <c r="B41" i="5"/>
  <c r="B38" i="5"/>
  <c r="B34" i="5"/>
  <c r="B36" i="5"/>
  <c r="B35" i="5"/>
  <c r="B31" i="5"/>
  <c r="B33" i="5"/>
  <c r="B32" i="5"/>
  <c r="E33" i="5"/>
  <c r="E32" i="5"/>
  <c r="E31" i="5"/>
  <c r="E28" i="5"/>
  <c r="E27" i="5"/>
  <c r="E23" i="5"/>
  <c r="E22" i="5"/>
  <c r="B21" i="5"/>
  <c r="B23" i="5"/>
  <c r="B22" i="5"/>
  <c r="B13" i="5"/>
  <c r="B12" i="5"/>
  <c r="B2" i="5"/>
  <c r="B5" i="5"/>
  <c r="B6" i="5"/>
  <c r="B7" i="5"/>
  <c r="B14" i="5"/>
  <c r="B15" i="5"/>
  <c r="B17" i="5"/>
  <c r="B18" i="5"/>
  <c r="B26" i="5"/>
  <c r="B44" i="5"/>
  <c r="B45" i="5"/>
  <c r="A50" i="5"/>
  <c r="A53" i="5"/>
</calcChain>
</file>

<file path=xl/sharedStrings.xml><?xml version="1.0" encoding="utf-8"?>
<sst xmlns="http://schemas.openxmlformats.org/spreadsheetml/2006/main" count="109" uniqueCount="74">
  <si>
    <t>T</t>
  </si>
  <si>
    <t>Name:</t>
  </si>
  <si>
    <t>DOB:</t>
  </si>
  <si>
    <t>DOE:</t>
  </si>
  <si>
    <t>Age:</t>
  </si>
  <si>
    <t>Measure</t>
  </si>
  <si>
    <t>Raw</t>
  </si>
  <si>
    <t>General Cognitive Functions</t>
  </si>
  <si>
    <t>HART Estimated "pre-morbid" IQ</t>
  </si>
  <si>
    <t>MMSE</t>
  </si>
  <si>
    <t>Temporal Orientation</t>
  </si>
  <si>
    <t>Place Orientation</t>
  </si>
  <si>
    <t>Serial 7's</t>
  </si>
  <si>
    <t>Recall</t>
  </si>
  <si>
    <t>Pentagons</t>
  </si>
  <si>
    <t>Attention/Working Memory</t>
  </si>
  <si>
    <t>Digit Span</t>
  </si>
  <si>
    <t>Forward Digit Span</t>
  </si>
  <si>
    <t>Backward Digit Span</t>
  </si>
  <si>
    <t>Executive Functions</t>
  </si>
  <si>
    <t>Go/ No-Go</t>
  </si>
  <si>
    <t>Trail Making A</t>
  </si>
  <si>
    <t>Trail Making B</t>
  </si>
  <si>
    <t>Langauge</t>
  </si>
  <si>
    <t>Letter-cued fluency</t>
  </si>
  <si>
    <t>S</t>
  </si>
  <si>
    <t>P</t>
  </si>
  <si>
    <t>Category-cued fluency</t>
  </si>
  <si>
    <t>Animals</t>
  </si>
  <si>
    <t>Supermarket Items</t>
  </si>
  <si>
    <t>Visuospatial Abilities</t>
  </si>
  <si>
    <t>Clock Drawing</t>
  </si>
  <si>
    <t>Request</t>
  </si>
  <si>
    <t>Copy</t>
  </si>
  <si>
    <t>Cross (2-D)</t>
  </si>
  <si>
    <t>House (3-D)</t>
  </si>
  <si>
    <t>Learning and Memory</t>
  </si>
  <si>
    <t>Prospective Memory Test</t>
  </si>
  <si>
    <t>HVLT-R</t>
  </si>
  <si>
    <t>Free Recall</t>
  </si>
  <si>
    <t>% Retention</t>
  </si>
  <si>
    <t>Activities Of Daily Living and Mood</t>
  </si>
  <si>
    <t>Lawton</t>
  </si>
  <si>
    <t>Informant</t>
  </si>
  <si>
    <t>Patient</t>
  </si>
  <si>
    <t>Qual</t>
  </si>
  <si>
    <t>Last, First</t>
  </si>
  <si>
    <t>MR#:</t>
  </si>
  <si>
    <t>mm/dd/yy</t>
  </si>
  <si>
    <t>Mm/dd/yy</t>
  </si>
  <si>
    <t>Education Level:</t>
  </si>
  <si>
    <t>Handedness:</t>
  </si>
  <si>
    <t>Recog</t>
  </si>
  <si>
    <t>Hits</t>
  </si>
  <si>
    <t>FP</t>
  </si>
  <si>
    <t>years</t>
  </si>
  <si>
    <t>Percentile</t>
  </si>
  <si>
    <t>---</t>
  </si>
  <si>
    <t>WMS-R Logical Memory</t>
  </si>
  <si>
    <t>Immediate Registration</t>
  </si>
  <si>
    <t>Delayed Recall</t>
  </si>
  <si>
    <t>Category - Letters (SD difference)</t>
  </si>
  <si>
    <t>Visual Naming (BNT-30)</t>
  </si>
  <si>
    <t>Placeholder for Graph's Vertical Axis</t>
  </si>
  <si>
    <t>"Dummy" values for dashed z-score lines</t>
  </si>
  <si>
    <t>Total Learning X,X,X</t>
  </si>
  <si>
    <t>T score</t>
  </si>
  <si>
    <t>Error bar calculation</t>
  </si>
  <si>
    <t>Diff</t>
  </si>
  <si>
    <t>T score referenced from "Paste Here" Worksheet and computed to show any value less than 20 as 20. This allows value to be plotted</t>
  </si>
  <si>
    <t>NOTE:  Abnormal scores (&lt;2nd %ile) are highlighted red.</t>
  </si>
  <si>
    <r>
      <t xml:space="preserve">GDS </t>
    </r>
    <r>
      <rPr>
        <sz val="9"/>
        <color theme="1"/>
        <rFont val="Arial"/>
      </rPr>
      <t>─</t>
    </r>
    <r>
      <rPr>
        <sz val="9"/>
        <color theme="1"/>
        <rFont val="Gill Sans"/>
      </rPr>
      <t xml:space="preserve"> 15</t>
    </r>
  </si>
  <si>
    <t>STATIC</t>
  </si>
  <si>
    <t>DYNAMIC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</si>
</sst>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yyyy\-mmm\-dd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Gill Sans"/>
    </font>
    <font>
      <sz val="9"/>
      <color theme="1"/>
      <name val="Gill Sans"/>
    </font>
    <font>
      <u/>
      <sz val="9"/>
      <color theme="1"/>
      <name val="Gill Sans"/>
    </font>
    <font>
      <i/>
      <sz val="9"/>
      <color theme="1"/>
      <name val="Gill Sans"/>
    </font>
    <font>
      <sz val="10"/>
      <color rgb="FF000000"/>
      <name val="Gill Sans"/>
    </font>
    <font>
      <sz val="10"/>
      <color theme="0"/>
      <name val="Gill Sans"/>
    </font>
    <font>
      <u/>
      <sz val="9"/>
      <color theme="1"/>
      <name val="Arial Rounded MT Bold"/>
    </font>
    <font>
      <u/>
      <sz val="10"/>
      <color theme="1"/>
      <name val="Arial Rounded MT Bold"/>
    </font>
    <font>
      <sz val="10"/>
      <color rgb="FFFF0000"/>
      <name val="Gill Sans"/>
    </font>
    <font>
      <b/>
      <sz val="10"/>
      <color rgb="FFFF0000"/>
      <name val="Gill Sans"/>
    </font>
    <font>
      <sz val="10"/>
      <color theme="0" tint="-0.14999847407452621"/>
      <name val="Gill Sans"/>
    </font>
    <font>
      <b/>
      <i/>
      <sz val="10"/>
      <color theme="1"/>
      <name val="Gill Sans"/>
    </font>
    <font>
      <b/>
      <i/>
      <sz val="11"/>
      <color theme="1"/>
      <name val="Calibri"/>
      <family val="2"/>
      <scheme val="minor"/>
    </font>
    <font>
      <sz val="9"/>
      <color theme="1"/>
      <name val="Arial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5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9" fontId="3" fillId="0" borderId="0" applyNumberFormat="0" applyFont="0" applyFill="0" applyBorder="0" applyAlignment="0" applyProtection="0">
      <alignment horizontal="left" vertical="top"/>
    </xf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04">
    <xf numFmtId="0" fontId="0" fillId="0" borderId="0" xfId="0"/>
    <xf numFmtId="0" fontId="5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NumberFormat="1" applyFont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right" vertical="center"/>
    </xf>
    <xf numFmtId="0" fontId="5" fillId="2" borderId="0" xfId="0" applyFont="1" applyFill="1" applyBorder="1"/>
    <xf numFmtId="0" fontId="6" fillId="0" borderId="0" xfId="0" applyFont="1" applyBorder="1" applyAlignment="1">
      <alignment horizontal="left" vertical="center"/>
    </xf>
    <xf numFmtId="0" fontId="5" fillId="0" borderId="0" xfId="0" applyFont="1" applyBorder="1"/>
    <xf numFmtId="0" fontId="8" fillId="2" borderId="0" xfId="0" applyFont="1" applyFill="1" applyBorder="1" applyAlignment="1">
      <alignment horizontal="left" vertical="center" indent="1"/>
    </xf>
    <xf numFmtId="0" fontId="8" fillId="0" borderId="0" xfId="0" applyFont="1" applyBorder="1" applyAlignment="1">
      <alignment horizontal="left" vertical="center" indent="1"/>
    </xf>
    <xf numFmtId="0" fontId="7" fillId="0" borderId="0" xfId="0" applyFont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 indent="1"/>
    </xf>
    <xf numFmtId="0" fontId="6" fillId="0" borderId="0" xfId="0" applyFont="1" applyBorder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Border="1" applyAlignment="1">
      <alignment horizontal="left" vertical="center"/>
    </xf>
    <xf numFmtId="0" fontId="0" fillId="0" borderId="0" xfId="0" applyAlignment="1"/>
    <xf numFmtId="0" fontId="0" fillId="0" borderId="0" xfId="0" applyBorder="1" applyAlignment="1"/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1" fontId="5" fillId="2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right" vertic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center" indent="1"/>
    </xf>
    <xf numFmtId="0" fontId="11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right" vertical="center"/>
    </xf>
    <xf numFmtId="0" fontId="5" fillId="0" borderId="0" xfId="0" applyFont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 indent="1"/>
    </xf>
    <xf numFmtId="49" fontId="5" fillId="0" borderId="0" xfId="0" applyNumberFormat="1" applyFont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 indent="1"/>
    </xf>
    <xf numFmtId="0" fontId="8" fillId="0" borderId="0" xfId="0" applyFont="1" applyFill="1" applyBorder="1" applyAlignment="1">
      <alignment horizontal="left" vertical="center" indent="2"/>
    </xf>
    <xf numFmtId="0" fontId="13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right" vertical="center"/>
    </xf>
    <xf numFmtId="0" fontId="13" fillId="2" borderId="0" xfId="0" applyFont="1" applyFill="1" applyBorder="1"/>
    <xf numFmtId="2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2" fontId="13" fillId="3" borderId="0" xfId="0" applyNumberFormat="1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horizontal="left" vertical="center" indent="2"/>
    </xf>
    <xf numFmtId="0" fontId="8" fillId="3" borderId="0" xfId="0" applyFont="1" applyFill="1" applyBorder="1" applyAlignment="1">
      <alignment horizontal="left" vertical="center" indent="3"/>
    </xf>
    <xf numFmtId="0" fontId="8" fillId="2" borderId="0" xfId="0" applyFont="1" applyFill="1" applyBorder="1" applyAlignment="1">
      <alignment horizontal="left" vertical="center" indent="3"/>
    </xf>
    <xf numFmtId="0" fontId="5" fillId="0" borderId="0" xfId="0" applyFont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/>
    </xf>
    <xf numFmtId="0" fontId="5" fillId="0" borderId="0" xfId="0" applyNumberFormat="1" applyFont="1" applyBorder="1" applyAlignment="1">
      <alignment horizontal="left" vertical="center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2" fontId="14" fillId="0" borderId="6" xfId="0" applyNumberFormat="1" applyFont="1" applyFill="1" applyBorder="1" applyAlignment="1">
      <alignment horizontal="center" vertical="center"/>
    </xf>
    <xf numFmtId="2" fontId="13" fillId="0" borderId="6" xfId="0" applyNumberFormat="1" applyFont="1" applyFill="1" applyBorder="1" applyAlignment="1">
      <alignment horizontal="center" vertical="center"/>
    </xf>
    <xf numFmtId="2" fontId="13" fillId="0" borderId="7" xfId="0" applyNumberFormat="1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3" fillId="0" borderId="6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1" fontId="5" fillId="3" borderId="0" xfId="0" applyNumberFormat="1" applyFont="1" applyFill="1" applyBorder="1" applyAlignment="1">
      <alignment horizontal="center" vertical="center"/>
    </xf>
    <xf numFmtId="1" fontId="5" fillId="2" borderId="0" xfId="0" quotePrefix="1" applyNumberFormat="1" applyFont="1" applyFill="1" applyBorder="1" applyAlignment="1">
      <alignment horizontal="center" vertical="center"/>
    </xf>
    <xf numFmtId="1" fontId="5" fillId="0" borderId="0" xfId="0" quotePrefix="1" applyNumberFormat="1" applyFont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1" fontId="13" fillId="2" borderId="0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2" fontId="13" fillId="0" borderId="1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Border="1" applyAlignment="1">
      <alignment horizontal="left" vertical="center"/>
    </xf>
    <xf numFmtId="0" fontId="5" fillId="0" borderId="0" xfId="0" applyNumberFormat="1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left" vertical="center"/>
    </xf>
    <xf numFmtId="0" fontId="0" fillId="0" borderId="1" xfId="0" applyBorder="1" applyAlignment="1">
      <alignment horizontal="right"/>
    </xf>
    <xf numFmtId="0" fontId="0" fillId="0" borderId="1" xfId="0" applyBorder="1" applyAlignment="1" applyProtection="1">
      <protection locked="0"/>
    </xf>
    <xf numFmtId="165" fontId="0" fillId="0" borderId="1" xfId="0" applyNumberFormat="1" applyBorder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5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2" fontId="5" fillId="0" borderId="0" xfId="0" applyNumberFormat="1" applyFont="1" applyBorder="1" applyAlignment="1" applyProtection="1">
      <alignment horizontal="center" vertical="center"/>
      <protection locked="0"/>
    </xf>
    <xf numFmtId="14" fontId="5" fillId="0" borderId="0" xfId="0" applyNumberFormat="1" applyFon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5" xfId="0" applyBorder="1" applyAlignment="1" applyProtection="1">
      <alignment horizontal="right"/>
      <protection locked="0"/>
    </xf>
    <xf numFmtId="0" fontId="0" fillId="0" borderId="8" xfId="0" applyBorder="1" applyAlignment="1">
      <alignment horizontal="right"/>
    </xf>
    <xf numFmtId="0" fontId="0" fillId="0" borderId="7" xfId="0" applyBorder="1" applyAlignment="1" applyProtection="1">
      <alignment horizontal="right"/>
      <protection locked="0"/>
    </xf>
    <xf numFmtId="2" fontId="0" fillId="0" borderId="0" xfId="0" applyNumberFormat="1"/>
    <xf numFmtId="2" fontId="13" fillId="0" borderId="6" xfId="0" quotePrefix="1" applyNumberFormat="1" applyFont="1" applyFill="1" applyBorder="1" applyAlignment="1">
      <alignment horizontal="center" vertical="center"/>
    </xf>
    <xf numFmtId="0" fontId="10" fillId="0" borderId="0" xfId="0" applyFont="1" applyFill="1" applyBorder="1"/>
    <xf numFmtId="0" fontId="15" fillId="2" borderId="0" xfId="0" applyFont="1" applyFill="1" applyBorder="1"/>
    <xf numFmtId="0" fontId="16" fillId="0" borderId="0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3" fillId="0" borderId="4" xfId="0" applyFont="1" applyFill="1" applyBorder="1" applyAlignment="1">
      <alignment horizontal="center" vertical="center"/>
    </xf>
    <xf numFmtId="2" fontId="13" fillId="0" borderId="4" xfId="0" applyNumberFormat="1" applyFont="1" applyFill="1" applyBorder="1" applyAlignment="1">
      <alignment horizontal="center" vertical="center"/>
    </xf>
  </cellXfs>
  <cellStyles count="35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Normal" xfId="0" builtinId="0"/>
    <cellStyle name="Style 1" xfId="153"/>
  </cellStyles>
  <dxfs count="9">
    <dxf>
      <fill>
        <patternFill>
          <fgColor auto="1"/>
          <bgColor auto="1"/>
        </patternFill>
      </fill>
    </dxf>
    <dxf>
      <fill>
        <patternFill>
          <fgColor auto="1"/>
          <bgColor auto="1"/>
        </patternFill>
      </fill>
    </dxf>
    <dxf>
      <fill>
        <patternFill>
          <fgColor auto="1"/>
          <bgColor auto="1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 tint="-0.14999847407452621"/>
      </font>
      <fill>
        <patternFill patternType="solid">
          <fgColor indexed="64"/>
          <bgColor theme="0" tint="-0.1499984740745262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06283662477558"/>
          <c:y val="0.0172225878481608"/>
          <c:w val="0.798922866513524"/>
          <c:h val="0.913522740627571"/>
        </c:manualLayout>
      </c:layout>
      <c:scatterChart>
        <c:scatterStyle val="lineMarker"/>
        <c:varyColors val="0"/>
        <c:ser>
          <c:idx val="1"/>
          <c:order val="0"/>
          <c:tx>
            <c:v>50t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'Results Overview'!$I$12:$I$62</c:f>
              <c:numCache>
                <c:formatCode>General</c:formatCode>
                <c:ptCount val="51"/>
                <c:pt idx="0">
                  <c:v>50.0</c:v>
                </c:pt>
                <c:pt idx="1">
                  <c:v>50.0</c:v>
                </c:pt>
                <c:pt idx="2">
                  <c:v>50.0</c:v>
                </c:pt>
                <c:pt idx="3">
                  <c:v>50.0</c:v>
                </c:pt>
                <c:pt idx="4">
                  <c:v>50.0</c:v>
                </c:pt>
                <c:pt idx="5">
                  <c:v>50.0</c:v>
                </c:pt>
                <c:pt idx="6">
                  <c:v>50.0</c:v>
                </c:pt>
                <c:pt idx="7">
                  <c:v>50.0</c:v>
                </c:pt>
                <c:pt idx="8">
                  <c:v>50.0</c:v>
                </c:pt>
                <c:pt idx="9">
                  <c:v>50.0</c:v>
                </c:pt>
                <c:pt idx="10">
                  <c:v>50.0</c:v>
                </c:pt>
                <c:pt idx="11">
                  <c:v>50.0</c:v>
                </c:pt>
                <c:pt idx="12">
                  <c:v>50.0</c:v>
                </c:pt>
                <c:pt idx="13">
                  <c:v>50.0</c:v>
                </c:pt>
                <c:pt idx="14">
                  <c:v>50.0</c:v>
                </c:pt>
                <c:pt idx="15">
                  <c:v>50.0</c:v>
                </c:pt>
                <c:pt idx="16">
                  <c:v>50.0</c:v>
                </c:pt>
                <c:pt idx="17">
                  <c:v>50.0</c:v>
                </c:pt>
                <c:pt idx="18">
                  <c:v>50.0</c:v>
                </c:pt>
                <c:pt idx="19">
                  <c:v>50.0</c:v>
                </c:pt>
                <c:pt idx="20">
                  <c:v>50.0</c:v>
                </c:pt>
                <c:pt idx="21">
                  <c:v>50.0</c:v>
                </c:pt>
                <c:pt idx="22">
                  <c:v>50.0</c:v>
                </c:pt>
                <c:pt idx="23">
                  <c:v>50.0</c:v>
                </c:pt>
                <c:pt idx="24">
                  <c:v>50.0</c:v>
                </c:pt>
                <c:pt idx="25">
                  <c:v>50.0</c:v>
                </c:pt>
                <c:pt idx="26">
                  <c:v>50.0</c:v>
                </c:pt>
                <c:pt idx="27">
                  <c:v>50.0</c:v>
                </c:pt>
                <c:pt idx="28">
                  <c:v>50.0</c:v>
                </c:pt>
                <c:pt idx="29">
                  <c:v>50.0</c:v>
                </c:pt>
                <c:pt idx="30">
                  <c:v>50.0</c:v>
                </c:pt>
                <c:pt idx="31">
                  <c:v>50.0</c:v>
                </c:pt>
                <c:pt idx="32">
                  <c:v>50.0</c:v>
                </c:pt>
                <c:pt idx="33">
                  <c:v>50.0</c:v>
                </c:pt>
                <c:pt idx="34">
                  <c:v>50.0</c:v>
                </c:pt>
                <c:pt idx="35">
                  <c:v>50.0</c:v>
                </c:pt>
                <c:pt idx="36">
                  <c:v>50.0</c:v>
                </c:pt>
                <c:pt idx="37">
                  <c:v>50.0</c:v>
                </c:pt>
                <c:pt idx="38">
                  <c:v>50.0</c:v>
                </c:pt>
                <c:pt idx="39">
                  <c:v>50.0</c:v>
                </c:pt>
                <c:pt idx="40">
                  <c:v>50.0</c:v>
                </c:pt>
                <c:pt idx="41">
                  <c:v>50.0</c:v>
                </c:pt>
                <c:pt idx="42">
                  <c:v>50.0</c:v>
                </c:pt>
                <c:pt idx="43">
                  <c:v>50.0</c:v>
                </c:pt>
                <c:pt idx="44">
                  <c:v>50.0</c:v>
                </c:pt>
                <c:pt idx="45">
                  <c:v>50.0</c:v>
                </c:pt>
                <c:pt idx="46">
                  <c:v>50.0</c:v>
                </c:pt>
                <c:pt idx="47">
                  <c:v>50.0</c:v>
                </c:pt>
                <c:pt idx="48">
                  <c:v>50.0</c:v>
                </c:pt>
                <c:pt idx="49">
                  <c:v>50.0</c:v>
                </c:pt>
                <c:pt idx="50">
                  <c:v>50.0</c:v>
                </c:pt>
              </c:numCache>
            </c:numRef>
          </c:xVal>
          <c:yVal>
            <c:numRef>
              <c:f>'Results Overview'!$N$12:$N$62</c:f>
              <c:numCache>
                <c:formatCode>General</c:formatCode>
                <c:ptCount val="51"/>
                <c:pt idx="0">
                  <c:v>50.5</c:v>
                </c:pt>
                <c:pt idx="1">
                  <c:v>49.5</c:v>
                </c:pt>
                <c:pt idx="2">
                  <c:v>48.5</c:v>
                </c:pt>
                <c:pt idx="3">
                  <c:v>47.5</c:v>
                </c:pt>
                <c:pt idx="4">
                  <c:v>46.5</c:v>
                </c:pt>
                <c:pt idx="5">
                  <c:v>45.5</c:v>
                </c:pt>
                <c:pt idx="6">
                  <c:v>44.5</c:v>
                </c:pt>
                <c:pt idx="7">
                  <c:v>43.5</c:v>
                </c:pt>
                <c:pt idx="8">
                  <c:v>42.5</c:v>
                </c:pt>
                <c:pt idx="9">
                  <c:v>41.5</c:v>
                </c:pt>
                <c:pt idx="10">
                  <c:v>40.5</c:v>
                </c:pt>
                <c:pt idx="11">
                  <c:v>39.5</c:v>
                </c:pt>
                <c:pt idx="12">
                  <c:v>38.5</c:v>
                </c:pt>
                <c:pt idx="13">
                  <c:v>37.5</c:v>
                </c:pt>
                <c:pt idx="14">
                  <c:v>36.5</c:v>
                </c:pt>
                <c:pt idx="15">
                  <c:v>35.5</c:v>
                </c:pt>
                <c:pt idx="16">
                  <c:v>34.5</c:v>
                </c:pt>
                <c:pt idx="17">
                  <c:v>33.5</c:v>
                </c:pt>
                <c:pt idx="18">
                  <c:v>32.5</c:v>
                </c:pt>
                <c:pt idx="19">
                  <c:v>31.5</c:v>
                </c:pt>
                <c:pt idx="20">
                  <c:v>30.5</c:v>
                </c:pt>
                <c:pt idx="21">
                  <c:v>29.5</c:v>
                </c:pt>
                <c:pt idx="22">
                  <c:v>28.5</c:v>
                </c:pt>
                <c:pt idx="23">
                  <c:v>27.5</c:v>
                </c:pt>
                <c:pt idx="24">
                  <c:v>26.5</c:v>
                </c:pt>
                <c:pt idx="25">
                  <c:v>25.5</c:v>
                </c:pt>
                <c:pt idx="26">
                  <c:v>24.5</c:v>
                </c:pt>
                <c:pt idx="27">
                  <c:v>23.5</c:v>
                </c:pt>
                <c:pt idx="28">
                  <c:v>22.5</c:v>
                </c:pt>
                <c:pt idx="29">
                  <c:v>21.5</c:v>
                </c:pt>
                <c:pt idx="30">
                  <c:v>20.5</c:v>
                </c:pt>
                <c:pt idx="31">
                  <c:v>19.5</c:v>
                </c:pt>
                <c:pt idx="32">
                  <c:v>18.5</c:v>
                </c:pt>
                <c:pt idx="33">
                  <c:v>17.5</c:v>
                </c:pt>
                <c:pt idx="34">
                  <c:v>16.5</c:v>
                </c:pt>
                <c:pt idx="35">
                  <c:v>15.5</c:v>
                </c:pt>
                <c:pt idx="36">
                  <c:v>14.5</c:v>
                </c:pt>
                <c:pt idx="37">
                  <c:v>13.5</c:v>
                </c:pt>
                <c:pt idx="38">
                  <c:v>12.5</c:v>
                </c:pt>
                <c:pt idx="39">
                  <c:v>11.5</c:v>
                </c:pt>
                <c:pt idx="40">
                  <c:v>10.5</c:v>
                </c:pt>
                <c:pt idx="41">
                  <c:v>9.5</c:v>
                </c:pt>
                <c:pt idx="42">
                  <c:v>8.5</c:v>
                </c:pt>
                <c:pt idx="43">
                  <c:v>7.5</c:v>
                </c:pt>
                <c:pt idx="44">
                  <c:v>6.5</c:v>
                </c:pt>
                <c:pt idx="45">
                  <c:v>5.5</c:v>
                </c:pt>
                <c:pt idx="46">
                  <c:v>4.5</c:v>
                </c:pt>
                <c:pt idx="47">
                  <c:v>3.5</c:v>
                </c:pt>
                <c:pt idx="48">
                  <c:v>2.5</c:v>
                </c:pt>
                <c:pt idx="49">
                  <c:v>1.5</c:v>
                </c:pt>
                <c:pt idx="50">
                  <c:v>0.5</c:v>
                </c:pt>
              </c:numCache>
            </c:numRef>
          </c:yVal>
          <c:smooth val="0"/>
        </c:ser>
        <c:ser>
          <c:idx val="0"/>
          <c:order val="1"/>
          <c:tx>
            <c:v>30t</c:v>
          </c:tx>
          <c:spPr>
            <a:ln w="9525" cmpd="sng">
              <a:solidFill>
                <a:schemeClr val="tx1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'Results Overview'!$K$12:$K$62</c:f>
              <c:numCache>
                <c:formatCode>General</c:formatCode>
                <c:ptCount val="51"/>
                <c:pt idx="0">
                  <c:v>30.0</c:v>
                </c:pt>
                <c:pt idx="1">
                  <c:v>30.0</c:v>
                </c:pt>
                <c:pt idx="2">
                  <c:v>30.0</c:v>
                </c:pt>
                <c:pt idx="3">
                  <c:v>30.0</c:v>
                </c:pt>
                <c:pt idx="4">
                  <c:v>30.0</c:v>
                </c:pt>
                <c:pt idx="5">
                  <c:v>30.0</c:v>
                </c:pt>
                <c:pt idx="6">
                  <c:v>30.0</c:v>
                </c:pt>
                <c:pt idx="7">
                  <c:v>30.0</c:v>
                </c:pt>
                <c:pt idx="8">
                  <c:v>30.0</c:v>
                </c:pt>
                <c:pt idx="9">
                  <c:v>30.0</c:v>
                </c:pt>
                <c:pt idx="10">
                  <c:v>30.0</c:v>
                </c:pt>
                <c:pt idx="11">
                  <c:v>30.0</c:v>
                </c:pt>
                <c:pt idx="12">
                  <c:v>30.0</c:v>
                </c:pt>
                <c:pt idx="13">
                  <c:v>30.0</c:v>
                </c:pt>
                <c:pt idx="14">
                  <c:v>30.0</c:v>
                </c:pt>
                <c:pt idx="15">
                  <c:v>30.0</c:v>
                </c:pt>
                <c:pt idx="16">
                  <c:v>30.0</c:v>
                </c:pt>
                <c:pt idx="17">
                  <c:v>30.0</c:v>
                </c:pt>
                <c:pt idx="18">
                  <c:v>30.0</c:v>
                </c:pt>
                <c:pt idx="19">
                  <c:v>30.0</c:v>
                </c:pt>
                <c:pt idx="20">
                  <c:v>30.0</c:v>
                </c:pt>
                <c:pt idx="21">
                  <c:v>30.0</c:v>
                </c:pt>
                <c:pt idx="22">
                  <c:v>30.0</c:v>
                </c:pt>
                <c:pt idx="23">
                  <c:v>30.0</c:v>
                </c:pt>
                <c:pt idx="24">
                  <c:v>30.0</c:v>
                </c:pt>
                <c:pt idx="25">
                  <c:v>30.0</c:v>
                </c:pt>
                <c:pt idx="26">
                  <c:v>30.0</c:v>
                </c:pt>
                <c:pt idx="27">
                  <c:v>30.0</c:v>
                </c:pt>
                <c:pt idx="28">
                  <c:v>30.0</c:v>
                </c:pt>
                <c:pt idx="29">
                  <c:v>30.0</c:v>
                </c:pt>
                <c:pt idx="30">
                  <c:v>30.0</c:v>
                </c:pt>
                <c:pt idx="31">
                  <c:v>30.0</c:v>
                </c:pt>
                <c:pt idx="32">
                  <c:v>30.0</c:v>
                </c:pt>
                <c:pt idx="33">
                  <c:v>30.0</c:v>
                </c:pt>
                <c:pt idx="34">
                  <c:v>30.0</c:v>
                </c:pt>
                <c:pt idx="35">
                  <c:v>30.0</c:v>
                </c:pt>
                <c:pt idx="36">
                  <c:v>30.0</c:v>
                </c:pt>
                <c:pt idx="37">
                  <c:v>30.0</c:v>
                </c:pt>
                <c:pt idx="38">
                  <c:v>30.0</c:v>
                </c:pt>
                <c:pt idx="39">
                  <c:v>30.0</c:v>
                </c:pt>
                <c:pt idx="40">
                  <c:v>30.0</c:v>
                </c:pt>
                <c:pt idx="41">
                  <c:v>30.0</c:v>
                </c:pt>
                <c:pt idx="42">
                  <c:v>30.0</c:v>
                </c:pt>
                <c:pt idx="43">
                  <c:v>30.0</c:v>
                </c:pt>
                <c:pt idx="44">
                  <c:v>30.0</c:v>
                </c:pt>
                <c:pt idx="45">
                  <c:v>30.0</c:v>
                </c:pt>
                <c:pt idx="46">
                  <c:v>30.0</c:v>
                </c:pt>
                <c:pt idx="47">
                  <c:v>30.0</c:v>
                </c:pt>
                <c:pt idx="48">
                  <c:v>30.0</c:v>
                </c:pt>
                <c:pt idx="49">
                  <c:v>30.0</c:v>
                </c:pt>
                <c:pt idx="50">
                  <c:v>30.0</c:v>
                </c:pt>
              </c:numCache>
            </c:numRef>
          </c:xVal>
          <c:yVal>
            <c:numRef>
              <c:f>'Results Overview'!$N$12:$N$62</c:f>
              <c:numCache>
                <c:formatCode>General</c:formatCode>
                <c:ptCount val="51"/>
                <c:pt idx="0">
                  <c:v>50.5</c:v>
                </c:pt>
                <c:pt idx="1">
                  <c:v>49.5</c:v>
                </c:pt>
                <c:pt idx="2">
                  <c:v>48.5</c:v>
                </c:pt>
                <c:pt idx="3">
                  <c:v>47.5</c:v>
                </c:pt>
                <c:pt idx="4">
                  <c:v>46.5</c:v>
                </c:pt>
                <c:pt idx="5">
                  <c:v>45.5</c:v>
                </c:pt>
                <c:pt idx="6">
                  <c:v>44.5</c:v>
                </c:pt>
                <c:pt idx="7">
                  <c:v>43.5</c:v>
                </c:pt>
                <c:pt idx="8">
                  <c:v>42.5</c:v>
                </c:pt>
                <c:pt idx="9">
                  <c:v>41.5</c:v>
                </c:pt>
                <c:pt idx="10">
                  <c:v>40.5</c:v>
                </c:pt>
                <c:pt idx="11">
                  <c:v>39.5</c:v>
                </c:pt>
                <c:pt idx="12">
                  <c:v>38.5</c:v>
                </c:pt>
                <c:pt idx="13">
                  <c:v>37.5</c:v>
                </c:pt>
                <c:pt idx="14">
                  <c:v>36.5</c:v>
                </c:pt>
                <c:pt idx="15">
                  <c:v>35.5</c:v>
                </c:pt>
                <c:pt idx="16">
                  <c:v>34.5</c:v>
                </c:pt>
                <c:pt idx="17">
                  <c:v>33.5</c:v>
                </c:pt>
                <c:pt idx="18">
                  <c:v>32.5</c:v>
                </c:pt>
                <c:pt idx="19">
                  <c:v>31.5</c:v>
                </c:pt>
                <c:pt idx="20">
                  <c:v>30.5</c:v>
                </c:pt>
                <c:pt idx="21">
                  <c:v>29.5</c:v>
                </c:pt>
                <c:pt idx="22">
                  <c:v>28.5</c:v>
                </c:pt>
                <c:pt idx="23">
                  <c:v>27.5</c:v>
                </c:pt>
                <c:pt idx="24">
                  <c:v>26.5</c:v>
                </c:pt>
                <c:pt idx="25">
                  <c:v>25.5</c:v>
                </c:pt>
                <c:pt idx="26">
                  <c:v>24.5</c:v>
                </c:pt>
                <c:pt idx="27">
                  <c:v>23.5</c:v>
                </c:pt>
                <c:pt idx="28">
                  <c:v>22.5</c:v>
                </c:pt>
                <c:pt idx="29">
                  <c:v>21.5</c:v>
                </c:pt>
                <c:pt idx="30">
                  <c:v>20.5</c:v>
                </c:pt>
                <c:pt idx="31">
                  <c:v>19.5</c:v>
                </c:pt>
                <c:pt idx="32">
                  <c:v>18.5</c:v>
                </c:pt>
                <c:pt idx="33">
                  <c:v>17.5</c:v>
                </c:pt>
                <c:pt idx="34">
                  <c:v>16.5</c:v>
                </c:pt>
                <c:pt idx="35">
                  <c:v>15.5</c:v>
                </c:pt>
                <c:pt idx="36">
                  <c:v>14.5</c:v>
                </c:pt>
                <c:pt idx="37">
                  <c:v>13.5</c:v>
                </c:pt>
                <c:pt idx="38">
                  <c:v>12.5</c:v>
                </c:pt>
                <c:pt idx="39">
                  <c:v>11.5</c:v>
                </c:pt>
                <c:pt idx="40">
                  <c:v>10.5</c:v>
                </c:pt>
                <c:pt idx="41">
                  <c:v>9.5</c:v>
                </c:pt>
                <c:pt idx="42">
                  <c:v>8.5</c:v>
                </c:pt>
                <c:pt idx="43">
                  <c:v>7.5</c:v>
                </c:pt>
                <c:pt idx="44">
                  <c:v>6.5</c:v>
                </c:pt>
                <c:pt idx="45">
                  <c:v>5.5</c:v>
                </c:pt>
                <c:pt idx="46">
                  <c:v>4.5</c:v>
                </c:pt>
                <c:pt idx="47">
                  <c:v>3.5</c:v>
                </c:pt>
                <c:pt idx="48">
                  <c:v>2.5</c:v>
                </c:pt>
                <c:pt idx="49">
                  <c:v>1.5</c:v>
                </c:pt>
                <c:pt idx="50">
                  <c:v>0.5</c:v>
                </c:pt>
              </c:numCache>
            </c:numRef>
          </c:yVal>
          <c:smooth val="0"/>
        </c:ser>
        <c:ser>
          <c:idx val="2"/>
          <c:order val="2"/>
          <c:tx>
            <c:v>40t</c:v>
          </c:tx>
          <c:spPr>
            <a:ln w="6350" cmpd="sng">
              <a:solidFill>
                <a:schemeClr val="tx1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'Results Overview'!$J$12:$J$62</c:f>
              <c:numCache>
                <c:formatCode>General</c:formatCode>
                <c:ptCount val="51"/>
                <c:pt idx="0">
                  <c:v>40.0</c:v>
                </c:pt>
                <c:pt idx="1">
                  <c:v>40.0</c:v>
                </c:pt>
                <c:pt idx="2">
                  <c:v>40.0</c:v>
                </c:pt>
                <c:pt idx="3">
                  <c:v>40.0</c:v>
                </c:pt>
                <c:pt idx="4">
                  <c:v>40.0</c:v>
                </c:pt>
                <c:pt idx="5">
                  <c:v>40.0</c:v>
                </c:pt>
                <c:pt idx="6">
                  <c:v>40.0</c:v>
                </c:pt>
                <c:pt idx="7">
                  <c:v>40.0</c:v>
                </c:pt>
                <c:pt idx="8">
                  <c:v>40.0</c:v>
                </c:pt>
                <c:pt idx="9">
                  <c:v>40.0</c:v>
                </c:pt>
                <c:pt idx="10">
                  <c:v>40.0</c:v>
                </c:pt>
                <c:pt idx="11">
                  <c:v>40.0</c:v>
                </c:pt>
                <c:pt idx="12">
                  <c:v>40.0</c:v>
                </c:pt>
                <c:pt idx="13">
                  <c:v>40.0</c:v>
                </c:pt>
                <c:pt idx="14">
                  <c:v>40.0</c:v>
                </c:pt>
                <c:pt idx="15">
                  <c:v>40.0</c:v>
                </c:pt>
                <c:pt idx="16">
                  <c:v>40.0</c:v>
                </c:pt>
                <c:pt idx="17">
                  <c:v>40.0</c:v>
                </c:pt>
                <c:pt idx="18">
                  <c:v>40.0</c:v>
                </c:pt>
                <c:pt idx="19">
                  <c:v>40.0</c:v>
                </c:pt>
                <c:pt idx="20">
                  <c:v>40.0</c:v>
                </c:pt>
                <c:pt idx="21">
                  <c:v>40.0</c:v>
                </c:pt>
                <c:pt idx="22">
                  <c:v>40.0</c:v>
                </c:pt>
                <c:pt idx="23">
                  <c:v>40.0</c:v>
                </c:pt>
                <c:pt idx="24">
                  <c:v>40.0</c:v>
                </c:pt>
                <c:pt idx="25">
                  <c:v>40.0</c:v>
                </c:pt>
                <c:pt idx="26">
                  <c:v>40.0</c:v>
                </c:pt>
                <c:pt idx="27">
                  <c:v>40.0</c:v>
                </c:pt>
                <c:pt idx="28">
                  <c:v>40.0</c:v>
                </c:pt>
                <c:pt idx="29">
                  <c:v>40.0</c:v>
                </c:pt>
                <c:pt idx="30">
                  <c:v>40.0</c:v>
                </c:pt>
                <c:pt idx="31">
                  <c:v>40.0</c:v>
                </c:pt>
                <c:pt idx="32">
                  <c:v>40.0</c:v>
                </c:pt>
                <c:pt idx="33">
                  <c:v>40.0</c:v>
                </c:pt>
                <c:pt idx="34">
                  <c:v>40.0</c:v>
                </c:pt>
                <c:pt idx="35">
                  <c:v>40.0</c:v>
                </c:pt>
                <c:pt idx="36">
                  <c:v>40.0</c:v>
                </c:pt>
                <c:pt idx="37">
                  <c:v>40.0</c:v>
                </c:pt>
                <c:pt idx="38">
                  <c:v>40.0</c:v>
                </c:pt>
                <c:pt idx="39">
                  <c:v>40.0</c:v>
                </c:pt>
                <c:pt idx="40">
                  <c:v>40.0</c:v>
                </c:pt>
                <c:pt idx="41">
                  <c:v>40.0</c:v>
                </c:pt>
                <c:pt idx="42">
                  <c:v>40.0</c:v>
                </c:pt>
                <c:pt idx="43">
                  <c:v>40.0</c:v>
                </c:pt>
                <c:pt idx="44">
                  <c:v>40.0</c:v>
                </c:pt>
                <c:pt idx="45">
                  <c:v>40.0</c:v>
                </c:pt>
                <c:pt idx="46">
                  <c:v>40.0</c:v>
                </c:pt>
                <c:pt idx="47">
                  <c:v>40.0</c:v>
                </c:pt>
                <c:pt idx="48">
                  <c:v>40.0</c:v>
                </c:pt>
                <c:pt idx="49">
                  <c:v>40.0</c:v>
                </c:pt>
                <c:pt idx="50">
                  <c:v>40.0</c:v>
                </c:pt>
              </c:numCache>
            </c:numRef>
          </c:xVal>
          <c:yVal>
            <c:numRef>
              <c:f>'Results Overview'!$N$12:$N$62</c:f>
              <c:numCache>
                <c:formatCode>General</c:formatCode>
                <c:ptCount val="51"/>
                <c:pt idx="0">
                  <c:v>50.5</c:v>
                </c:pt>
                <c:pt idx="1">
                  <c:v>49.5</c:v>
                </c:pt>
                <c:pt idx="2">
                  <c:v>48.5</c:v>
                </c:pt>
                <c:pt idx="3">
                  <c:v>47.5</c:v>
                </c:pt>
                <c:pt idx="4">
                  <c:v>46.5</c:v>
                </c:pt>
                <c:pt idx="5">
                  <c:v>45.5</c:v>
                </c:pt>
                <c:pt idx="6">
                  <c:v>44.5</c:v>
                </c:pt>
                <c:pt idx="7">
                  <c:v>43.5</c:v>
                </c:pt>
                <c:pt idx="8">
                  <c:v>42.5</c:v>
                </c:pt>
                <c:pt idx="9">
                  <c:v>41.5</c:v>
                </c:pt>
                <c:pt idx="10">
                  <c:v>40.5</c:v>
                </c:pt>
                <c:pt idx="11">
                  <c:v>39.5</c:v>
                </c:pt>
                <c:pt idx="12">
                  <c:v>38.5</c:v>
                </c:pt>
                <c:pt idx="13">
                  <c:v>37.5</c:v>
                </c:pt>
                <c:pt idx="14">
                  <c:v>36.5</c:v>
                </c:pt>
                <c:pt idx="15">
                  <c:v>35.5</c:v>
                </c:pt>
                <c:pt idx="16">
                  <c:v>34.5</c:v>
                </c:pt>
                <c:pt idx="17">
                  <c:v>33.5</c:v>
                </c:pt>
                <c:pt idx="18">
                  <c:v>32.5</c:v>
                </c:pt>
                <c:pt idx="19">
                  <c:v>31.5</c:v>
                </c:pt>
                <c:pt idx="20">
                  <c:v>30.5</c:v>
                </c:pt>
                <c:pt idx="21">
                  <c:v>29.5</c:v>
                </c:pt>
                <c:pt idx="22">
                  <c:v>28.5</c:v>
                </c:pt>
                <c:pt idx="23">
                  <c:v>27.5</c:v>
                </c:pt>
                <c:pt idx="24">
                  <c:v>26.5</c:v>
                </c:pt>
                <c:pt idx="25">
                  <c:v>25.5</c:v>
                </c:pt>
                <c:pt idx="26">
                  <c:v>24.5</c:v>
                </c:pt>
                <c:pt idx="27">
                  <c:v>23.5</c:v>
                </c:pt>
                <c:pt idx="28">
                  <c:v>22.5</c:v>
                </c:pt>
                <c:pt idx="29">
                  <c:v>21.5</c:v>
                </c:pt>
                <c:pt idx="30">
                  <c:v>20.5</c:v>
                </c:pt>
                <c:pt idx="31">
                  <c:v>19.5</c:v>
                </c:pt>
                <c:pt idx="32">
                  <c:v>18.5</c:v>
                </c:pt>
                <c:pt idx="33">
                  <c:v>17.5</c:v>
                </c:pt>
                <c:pt idx="34">
                  <c:v>16.5</c:v>
                </c:pt>
                <c:pt idx="35">
                  <c:v>15.5</c:v>
                </c:pt>
                <c:pt idx="36">
                  <c:v>14.5</c:v>
                </c:pt>
                <c:pt idx="37">
                  <c:v>13.5</c:v>
                </c:pt>
                <c:pt idx="38">
                  <c:v>12.5</c:v>
                </c:pt>
                <c:pt idx="39">
                  <c:v>11.5</c:v>
                </c:pt>
                <c:pt idx="40">
                  <c:v>10.5</c:v>
                </c:pt>
                <c:pt idx="41">
                  <c:v>9.5</c:v>
                </c:pt>
                <c:pt idx="42">
                  <c:v>8.5</c:v>
                </c:pt>
                <c:pt idx="43">
                  <c:v>7.5</c:v>
                </c:pt>
                <c:pt idx="44">
                  <c:v>6.5</c:v>
                </c:pt>
                <c:pt idx="45">
                  <c:v>5.5</c:v>
                </c:pt>
                <c:pt idx="46">
                  <c:v>4.5</c:v>
                </c:pt>
                <c:pt idx="47">
                  <c:v>3.5</c:v>
                </c:pt>
                <c:pt idx="48">
                  <c:v>2.5</c:v>
                </c:pt>
                <c:pt idx="49">
                  <c:v>1.5</c:v>
                </c:pt>
                <c:pt idx="50">
                  <c:v>0.5</c:v>
                </c:pt>
              </c:numCache>
            </c:numRef>
          </c:yVal>
          <c:smooth val="0"/>
        </c:ser>
        <c:ser>
          <c:idx val="3"/>
          <c:order val="3"/>
          <c:tx>
            <c:v>60t</c:v>
          </c:tx>
          <c:spPr>
            <a:ln w="6350" cmpd="sng">
              <a:solidFill>
                <a:schemeClr val="tx1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'Results Overview'!$L$12:$L$62</c:f>
              <c:numCache>
                <c:formatCode>General</c:formatCode>
                <c:ptCount val="51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  <c:pt idx="4">
                  <c:v>60.0</c:v>
                </c:pt>
                <c:pt idx="5">
                  <c:v>60.0</c:v>
                </c:pt>
                <c:pt idx="6">
                  <c:v>60.0</c:v>
                </c:pt>
                <c:pt idx="7">
                  <c:v>60.0</c:v>
                </c:pt>
                <c:pt idx="8">
                  <c:v>60.0</c:v>
                </c:pt>
                <c:pt idx="9">
                  <c:v>60.0</c:v>
                </c:pt>
                <c:pt idx="10">
                  <c:v>60.0</c:v>
                </c:pt>
                <c:pt idx="11">
                  <c:v>60.0</c:v>
                </c:pt>
                <c:pt idx="12">
                  <c:v>60.0</c:v>
                </c:pt>
                <c:pt idx="13">
                  <c:v>60.0</c:v>
                </c:pt>
                <c:pt idx="14">
                  <c:v>60.0</c:v>
                </c:pt>
                <c:pt idx="15">
                  <c:v>60.0</c:v>
                </c:pt>
                <c:pt idx="16">
                  <c:v>60.0</c:v>
                </c:pt>
                <c:pt idx="17">
                  <c:v>60.0</c:v>
                </c:pt>
                <c:pt idx="18">
                  <c:v>60.0</c:v>
                </c:pt>
                <c:pt idx="19">
                  <c:v>60.0</c:v>
                </c:pt>
                <c:pt idx="20">
                  <c:v>60.0</c:v>
                </c:pt>
                <c:pt idx="21">
                  <c:v>60.0</c:v>
                </c:pt>
                <c:pt idx="22">
                  <c:v>60.0</c:v>
                </c:pt>
                <c:pt idx="23">
                  <c:v>60.0</c:v>
                </c:pt>
                <c:pt idx="24">
                  <c:v>60.0</c:v>
                </c:pt>
                <c:pt idx="25">
                  <c:v>60.0</c:v>
                </c:pt>
                <c:pt idx="26">
                  <c:v>60.0</c:v>
                </c:pt>
                <c:pt idx="27">
                  <c:v>60.0</c:v>
                </c:pt>
                <c:pt idx="28">
                  <c:v>60.0</c:v>
                </c:pt>
                <c:pt idx="29">
                  <c:v>60.0</c:v>
                </c:pt>
                <c:pt idx="30">
                  <c:v>60.0</c:v>
                </c:pt>
                <c:pt idx="31">
                  <c:v>60.0</c:v>
                </c:pt>
                <c:pt idx="32">
                  <c:v>60.0</c:v>
                </c:pt>
                <c:pt idx="33">
                  <c:v>60.0</c:v>
                </c:pt>
                <c:pt idx="34">
                  <c:v>60.0</c:v>
                </c:pt>
                <c:pt idx="35">
                  <c:v>60.0</c:v>
                </c:pt>
                <c:pt idx="36">
                  <c:v>60.0</c:v>
                </c:pt>
                <c:pt idx="37">
                  <c:v>60.0</c:v>
                </c:pt>
                <c:pt idx="38">
                  <c:v>60.0</c:v>
                </c:pt>
                <c:pt idx="39">
                  <c:v>60.0</c:v>
                </c:pt>
                <c:pt idx="40">
                  <c:v>60.0</c:v>
                </c:pt>
                <c:pt idx="41">
                  <c:v>60.0</c:v>
                </c:pt>
                <c:pt idx="42">
                  <c:v>60.0</c:v>
                </c:pt>
                <c:pt idx="43">
                  <c:v>60.0</c:v>
                </c:pt>
                <c:pt idx="44">
                  <c:v>60.0</c:v>
                </c:pt>
                <c:pt idx="45">
                  <c:v>60.0</c:v>
                </c:pt>
                <c:pt idx="46">
                  <c:v>60.0</c:v>
                </c:pt>
                <c:pt idx="47">
                  <c:v>60.0</c:v>
                </c:pt>
                <c:pt idx="48">
                  <c:v>60.0</c:v>
                </c:pt>
                <c:pt idx="49">
                  <c:v>60.0</c:v>
                </c:pt>
                <c:pt idx="50">
                  <c:v>60.0</c:v>
                </c:pt>
              </c:numCache>
            </c:numRef>
          </c:xVal>
          <c:yVal>
            <c:numRef>
              <c:f>'Results Overview'!$N$12:$N$62</c:f>
              <c:numCache>
                <c:formatCode>General</c:formatCode>
                <c:ptCount val="51"/>
                <c:pt idx="0">
                  <c:v>50.5</c:v>
                </c:pt>
                <c:pt idx="1">
                  <c:v>49.5</c:v>
                </c:pt>
                <c:pt idx="2">
                  <c:v>48.5</c:v>
                </c:pt>
                <c:pt idx="3">
                  <c:v>47.5</c:v>
                </c:pt>
                <c:pt idx="4">
                  <c:v>46.5</c:v>
                </c:pt>
                <c:pt idx="5">
                  <c:v>45.5</c:v>
                </c:pt>
                <c:pt idx="6">
                  <c:v>44.5</c:v>
                </c:pt>
                <c:pt idx="7">
                  <c:v>43.5</c:v>
                </c:pt>
                <c:pt idx="8">
                  <c:v>42.5</c:v>
                </c:pt>
                <c:pt idx="9">
                  <c:v>41.5</c:v>
                </c:pt>
                <c:pt idx="10">
                  <c:v>40.5</c:v>
                </c:pt>
                <c:pt idx="11">
                  <c:v>39.5</c:v>
                </c:pt>
                <c:pt idx="12">
                  <c:v>38.5</c:v>
                </c:pt>
                <c:pt idx="13">
                  <c:v>37.5</c:v>
                </c:pt>
                <c:pt idx="14">
                  <c:v>36.5</c:v>
                </c:pt>
                <c:pt idx="15">
                  <c:v>35.5</c:v>
                </c:pt>
                <c:pt idx="16">
                  <c:v>34.5</c:v>
                </c:pt>
                <c:pt idx="17">
                  <c:v>33.5</c:v>
                </c:pt>
                <c:pt idx="18">
                  <c:v>32.5</c:v>
                </c:pt>
                <c:pt idx="19">
                  <c:v>31.5</c:v>
                </c:pt>
                <c:pt idx="20">
                  <c:v>30.5</c:v>
                </c:pt>
                <c:pt idx="21">
                  <c:v>29.5</c:v>
                </c:pt>
                <c:pt idx="22">
                  <c:v>28.5</c:v>
                </c:pt>
                <c:pt idx="23">
                  <c:v>27.5</c:v>
                </c:pt>
                <c:pt idx="24">
                  <c:v>26.5</c:v>
                </c:pt>
                <c:pt idx="25">
                  <c:v>25.5</c:v>
                </c:pt>
                <c:pt idx="26">
                  <c:v>24.5</c:v>
                </c:pt>
                <c:pt idx="27">
                  <c:v>23.5</c:v>
                </c:pt>
                <c:pt idx="28">
                  <c:v>22.5</c:v>
                </c:pt>
                <c:pt idx="29">
                  <c:v>21.5</c:v>
                </c:pt>
                <c:pt idx="30">
                  <c:v>20.5</c:v>
                </c:pt>
                <c:pt idx="31">
                  <c:v>19.5</c:v>
                </c:pt>
                <c:pt idx="32">
                  <c:v>18.5</c:v>
                </c:pt>
                <c:pt idx="33">
                  <c:v>17.5</c:v>
                </c:pt>
                <c:pt idx="34">
                  <c:v>16.5</c:v>
                </c:pt>
                <c:pt idx="35">
                  <c:v>15.5</c:v>
                </c:pt>
                <c:pt idx="36">
                  <c:v>14.5</c:v>
                </c:pt>
                <c:pt idx="37">
                  <c:v>13.5</c:v>
                </c:pt>
                <c:pt idx="38">
                  <c:v>12.5</c:v>
                </c:pt>
                <c:pt idx="39">
                  <c:v>11.5</c:v>
                </c:pt>
                <c:pt idx="40">
                  <c:v>10.5</c:v>
                </c:pt>
                <c:pt idx="41">
                  <c:v>9.5</c:v>
                </c:pt>
                <c:pt idx="42">
                  <c:v>8.5</c:v>
                </c:pt>
                <c:pt idx="43">
                  <c:v>7.5</c:v>
                </c:pt>
                <c:pt idx="44">
                  <c:v>6.5</c:v>
                </c:pt>
                <c:pt idx="45">
                  <c:v>5.5</c:v>
                </c:pt>
                <c:pt idx="46">
                  <c:v>4.5</c:v>
                </c:pt>
                <c:pt idx="47">
                  <c:v>3.5</c:v>
                </c:pt>
                <c:pt idx="48">
                  <c:v>2.5</c:v>
                </c:pt>
                <c:pt idx="49">
                  <c:v>1.5</c:v>
                </c:pt>
                <c:pt idx="50">
                  <c:v>0.5</c:v>
                </c:pt>
              </c:numCache>
            </c:numRef>
          </c:yVal>
          <c:smooth val="0"/>
        </c:ser>
        <c:ser>
          <c:idx val="4"/>
          <c:order val="4"/>
          <c:tx>
            <c:v>70t</c:v>
          </c:tx>
          <c:spPr>
            <a:ln w="9525" cmpd="sng">
              <a:solidFill>
                <a:schemeClr val="tx1"/>
              </a:solidFill>
              <a:prstDash val="sysDot"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'Results Overview'!$M$12:$M$62</c:f>
              <c:numCache>
                <c:formatCode>General</c:formatCode>
                <c:ptCount val="51"/>
                <c:pt idx="0">
                  <c:v>70.0</c:v>
                </c:pt>
                <c:pt idx="1">
                  <c:v>70.0</c:v>
                </c:pt>
                <c:pt idx="2">
                  <c:v>70.0</c:v>
                </c:pt>
                <c:pt idx="3">
                  <c:v>70.0</c:v>
                </c:pt>
                <c:pt idx="4">
                  <c:v>70.0</c:v>
                </c:pt>
                <c:pt idx="5">
                  <c:v>70.0</c:v>
                </c:pt>
                <c:pt idx="6">
                  <c:v>70.0</c:v>
                </c:pt>
                <c:pt idx="7">
                  <c:v>70.0</c:v>
                </c:pt>
                <c:pt idx="8">
                  <c:v>70.0</c:v>
                </c:pt>
                <c:pt idx="9">
                  <c:v>70.0</c:v>
                </c:pt>
                <c:pt idx="10">
                  <c:v>70.0</c:v>
                </c:pt>
                <c:pt idx="11">
                  <c:v>70.0</c:v>
                </c:pt>
                <c:pt idx="12">
                  <c:v>70.0</c:v>
                </c:pt>
                <c:pt idx="13">
                  <c:v>70.0</c:v>
                </c:pt>
                <c:pt idx="14">
                  <c:v>70.0</c:v>
                </c:pt>
                <c:pt idx="15">
                  <c:v>70.0</c:v>
                </c:pt>
                <c:pt idx="16">
                  <c:v>70.0</c:v>
                </c:pt>
                <c:pt idx="17">
                  <c:v>70.0</c:v>
                </c:pt>
                <c:pt idx="18">
                  <c:v>70.0</c:v>
                </c:pt>
                <c:pt idx="19">
                  <c:v>70.0</c:v>
                </c:pt>
                <c:pt idx="20">
                  <c:v>70.0</c:v>
                </c:pt>
                <c:pt idx="21">
                  <c:v>70.0</c:v>
                </c:pt>
                <c:pt idx="22">
                  <c:v>70.0</c:v>
                </c:pt>
                <c:pt idx="23">
                  <c:v>70.0</c:v>
                </c:pt>
                <c:pt idx="24">
                  <c:v>70.0</c:v>
                </c:pt>
                <c:pt idx="25">
                  <c:v>70.0</c:v>
                </c:pt>
                <c:pt idx="26">
                  <c:v>70.0</c:v>
                </c:pt>
                <c:pt idx="27">
                  <c:v>70.0</c:v>
                </c:pt>
                <c:pt idx="28">
                  <c:v>70.0</c:v>
                </c:pt>
                <c:pt idx="29">
                  <c:v>70.0</c:v>
                </c:pt>
                <c:pt idx="30">
                  <c:v>70.0</c:v>
                </c:pt>
                <c:pt idx="31">
                  <c:v>70.0</c:v>
                </c:pt>
                <c:pt idx="32">
                  <c:v>70.0</c:v>
                </c:pt>
                <c:pt idx="33">
                  <c:v>70.0</c:v>
                </c:pt>
                <c:pt idx="34">
                  <c:v>70.0</c:v>
                </c:pt>
                <c:pt idx="35">
                  <c:v>70.0</c:v>
                </c:pt>
                <c:pt idx="36">
                  <c:v>70.0</c:v>
                </c:pt>
                <c:pt idx="37">
                  <c:v>70.0</c:v>
                </c:pt>
                <c:pt idx="38">
                  <c:v>70.0</c:v>
                </c:pt>
                <c:pt idx="39">
                  <c:v>70.0</c:v>
                </c:pt>
                <c:pt idx="40">
                  <c:v>70.0</c:v>
                </c:pt>
                <c:pt idx="41">
                  <c:v>70.0</c:v>
                </c:pt>
                <c:pt idx="42">
                  <c:v>70.0</c:v>
                </c:pt>
                <c:pt idx="43">
                  <c:v>70.0</c:v>
                </c:pt>
                <c:pt idx="44">
                  <c:v>70.0</c:v>
                </c:pt>
                <c:pt idx="45">
                  <c:v>70.0</c:v>
                </c:pt>
                <c:pt idx="46">
                  <c:v>70.0</c:v>
                </c:pt>
                <c:pt idx="47">
                  <c:v>70.0</c:v>
                </c:pt>
                <c:pt idx="48">
                  <c:v>70.0</c:v>
                </c:pt>
                <c:pt idx="49">
                  <c:v>70.0</c:v>
                </c:pt>
                <c:pt idx="50">
                  <c:v>70.0</c:v>
                </c:pt>
              </c:numCache>
            </c:numRef>
          </c:xVal>
          <c:yVal>
            <c:numRef>
              <c:f>'Results Overview'!$N$12:$N$62</c:f>
              <c:numCache>
                <c:formatCode>General</c:formatCode>
                <c:ptCount val="51"/>
                <c:pt idx="0">
                  <c:v>50.5</c:v>
                </c:pt>
                <c:pt idx="1">
                  <c:v>49.5</c:v>
                </c:pt>
                <c:pt idx="2">
                  <c:v>48.5</c:v>
                </c:pt>
                <c:pt idx="3">
                  <c:v>47.5</c:v>
                </c:pt>
                <c:pt idx="4">
                  <c:v>46.5</c:v>
                </c:pt>
                <c:pt idx="5">
                  <c:v>45.5</c:v>
                </c:pt>
                <c:pt idx="6">
                  <c:v>44.5</c:v>
                </c:pt>
                <c:pt idx="7">
                  <c:v>43.5</c:v>
                </c:pt>
                <c:pt idx="8">
                  <c:v>42.5</c:v>
                </c:pt>
                <c:pt idx="9">
                  <c:v>41.5</c:v>
                </c:pt>
                <c:pt idx="10">
                  <c:v>40.5</c:v>
                </c:pt>
                <c:pt idx="11">
                  <c:v>39.5</c:v>
                </c:pt>
                <c:pt idx="12">
                  <c:v>38.5</c:v>
                </c:pt>
                <c:pt idx="13">
                  <c:v>37.5</c:v>
                </c:pt>
                <c:pt idx="14">
                  <c:v>36.5</c:v>
                </c:pt>
                <c:pt idx="15">
                  <c:v>35.5</c:v>
                </c:pt>
                <c:pt idx="16">
                  <c:v>34.5</c:v>
                </c:pt>
                <c:pt idx="17">
                  <c:v>33.5</c:v>
                </c:pt>
                <c:pt idx="18">
                  <c:v>32.5</c:v>
                </c:pt>
                <c:pt idx="19">
                  <c:v>31.5</c:v>
                </c:pt>
                <c:pt idx="20">
                  <c:v>30.5</c:v>
                </c:pt>
                <c:pt idx="21">
                  <c:v>29.5</c:v>
                </c:pt>
                <c:pt idx="22">
                  <c:v>28.5</c:v>
                </c:pt>
                <c:pt idx="23">
                  <c:v>27.5</c:v>
                </c:pt>
                <c:pt idx="24">
                  <c:v>26.5</c:v>
                </c:pt>
                <c:pt idx="25">
                  <c:v>25.5</c:v>
                </c:pt>
                <c:pt idx="26">
                  <c:v>24.5</c:v>
                </c:pt>
                <c:pt idx="27">
                  <c:v>23.5</c:v>
                </c:pt>
                <c:pt idx="28">
                  <c:v>22.5</c:v>
                </c:pt>
                <c:pt idx="29">
                  <c:v>21.5</c:v>
                </c:pt>
                <c:pt idx="30">
                  <c:v>20.5</c:v>
                </c:pt>
                <c:pt idx="31">
                  <c:v>19.5</c:v>
                </c:pt>
                <c:pt idx="32">
                  <c:v>18.5</c:v>
                </c:pt>
                <c:pt idx="33">
                  <c:v>17.5</c:v>
                </c:pt>
                <c:pt idx="34">
                  <c:v>16.5</c:v>
                </c:pt>
                <c:pt idx="35">
                  <c:v>15.5</c:v>
                </c:pt>
                <c:pt idx="36">
                  <c:v>14.5</c:v>
                </c:pt>
                <c:pt idx="37">
                  <c:v>13.5</c:v>
                </c:pt>
                <c:pt idx="38">
                  <c:v>12.5</c:v>
                </c:pt>
                <c:pt idx="39">
                  <c:v>11.5</c:v>
                </c:pt>
                <c:pt idx="40">
                  <c:v>10.5</c:v>
                </c:pt>
                <c:pt idx="41">
                  <c:v>9.5</c:v>
                </c:pt>
                <c:pt idx="42">
                  <c:v>8.5</c:v>
                </c:pt>
                <c:pt idx="43">
                  <c:v>7.5</c:v>
                </c:pt>
                <c:pt idx="44">
                  <c:v>6.5</c:v>
                </c:pt>
                <c:pt idx="45">
                  <c:v>5.5</c:v>
                </c:pt>
                <c:pt idx="46">
                  <c:v>4.5</c:v>
                </c:pt>
                <c:pt idx="47">
                  <c:v>3.5</c:v>
                </c:pt>
                <c:pt idx="48">
                  <c:v>2.5</c:v>
                </c:pt>
                <c:pt idx="49">
                  <c:v>1.5</c:v>
                </c:pt>
                <c:pt idx="50">
                  <c:v>0.5</c:v>
                </c:pt>
              </c:numCache>
            </c:numRef>
          </c:yVal>
          <c:smooth val="0"/>
        </c:ser>
        <c:ser>
          <c:idx val="5"/>
          <c:order val="5"/>
          <c:spPr>
            <a:ln>
              <a:noFill/>
            </a:ln>
          </c:spPr>
          <c:marker>
            <c:symbol val="diamond"/>
            <c:size val="7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scene3d>
                <a:camera prst="orthographicFront"/>
                <a:lightRig rig="threePt" dir="t"/>
              </a:scene3d>
              <a:sp3d/>
            </c:spPr>
          </c:marker>
          <c:errBars>
            <c:errDir val="x"/>
            <c:errBarType val="minus"/>
            <c:errValType val="cust"/>
            <c:noEndCap val="1"/>
            <c:plus>
              <c:numRef>
                <c:f>'Results Overview'!$H$12:$H$62</c:f>
                <c:numCache>
                  <c:formatCode>General</c:formatCode>
                  <c:ptCount val="51"/>
                  <c:pt idx="0">
                    <c:v>-66.66666666666667</c:v>
                  </c:pt>
                  <c:pt idx="1">
                    <c:v>-30.0</c:v>
                  </c:pt>
                  <c:pt idx="9">
                    <c:v>-30.0</c:v>
                  </c:pt>
                  <c:pt idx="10">
                    <c:v>-30.0</c:v>
                  </c:pt>
                  <c:pt idx="11">
                    <c:v>-30.0</c:v>
                  </c:pt>
                  <c:pt idx="15">
                    <c:v>-30.0</c:v>
                  </c:pt>
                  <c:pt idx="16">
                    <c:v>-30.0</c:v>
                  </c:pt>
                  <c:pt idx="19">
                    <c:v>-30.0</c:v>
                  </c:pt>
                  <c:pt idx="20">
                    <c:v>-30.0</c:v>
                  </c:pt>
                  <c:pt idx="21">
                    <c:v>-30.0</c:v>
                  </c:pt>
                  <c:pt idx="22">
                    <c:v>-30.0</c:v>
                  </c:pt>
                  <c:pt idx="23">
                    <c:v>-30.0</c:v>
                  </c:pt>
                  <c:pt idx="24">
                    <c:v>-30.0</c:v>
                  </c:pt>
                  <c:pt idx="26">
                    <c:v>-30.0</c:v>
                  </c:pt>
                  <c:pt idx="29">
                    <c:v>-30.0</c:v>
                  </c:pt>
                  <c:pt idx="30">
                    <c:v>-30.0</c:v>
                  </c:pt>
                  <c:pt idx="31">
                    <c:v>-30.0</c:v>
                  </c:pt>
                  <c:pt idx="36">
                    <c:v>-30.0</c:v>
                  </c:pt>
                  <c:pt idx="38">
                    <c:v>-30.0</c:v>
                  </c:pt>
                  <c:pt idx="39">
                    <c:v>-30.0</c:v>
                  </c:pt>
                  <c:pt idx="40">
                    <c:v>-30.0</c:v>
                  </c:pt>
                  <c:pt idx="41">
                    <c:v>-30.0</c:v>
                  </c:pt>
                  <c:pt idx="43">
                    <c:v>-30.0</c:v>
                  </c:pt>
                  <c:pt idx="44">
                    <c:v>-30.0</c:v>
                  </c:pt>
                  <c:pt idx="48">
                    <c:v>-50.0</c:v>
                  </c:pt>
                  <c:pt idx="49">
                    <c:v>-50.0</c:v>
                  </c:pt>
                  <c:pt idx="50">
                    <c:v>-50.0</c:v>
                  </c:pt>
                </c:numCache>
              </c:numRef>
            </c:plus>
            <c:minus>
              <c:numRef>
                <c:f>'Results Overview'!$H$12:$H$62</c:f>
                <c:numCache>
                  <c:formatCode>General</c:formatCode>
                  <c:ptCount val="51"/>
                  <c:pt idx="0">
                    <c:v>-66.66666666666667</c:v>
                  </c:pt>
                  <c:pt idx="1">
                    <c:v>-30.0</c:v>
                  </c:pt>
                  <c:pt idx="9">
                    <c:v>-30.0</c:v>
                  </c:pt>
                  <c:pt idx="10">
                    <c:v>-30.0</c:v>
                  </c:pt>
                  <c:pt idx="11">
                    <c:v>-30.0</c:v>
                  </c:pt>
                  <c:pt idx="15">
                    <c:v>-30.0</c:v>
                  </c:pt>
                  <c:pt idx="16">
                    <c:v>-30.0</c:v>
                  </c:pt>
                  <c:pt idx="19">
                    <c:v>-30.0</c:v>
                  </c:pt>
                  <c:pt idx="20">
                    <c:v>-30.0</c:v>
                  </c:pt>
                  <c:pt idx="21">
                    <c:v>-30.0</c:v>
                  </c:pt>
                  <c:pt idx="22">
                    <c:v>-30.0</c:v>
                  </c:pt>
                  <c:pt idx="23">
                    <c:v>-30.0</c:v>
                  </c:pt>
                  <c:pt idx="24">
                    <c:v>-30.0</c:v>
                  </c:pt>
                  <c:pt idx="26">
                    <c:v>-30.0</c:v>
                  </c:pt>
                  <c:pt idx="29">
                    <c:v>-30.0</c:v>
                  </c:pt>
                  <c:pt idx="30">
                    <c:v>-30.0</c:v>
                  </c:pt>
                  <c:pt idx="31">
                    <c:v>-30.0</c:v>
                  </c:pt>
                  <c:pt idx="36">
                    <c:v>-30.0</c:v>
                  </c:pt>
                  <c:pt idx="38">
                    <c:v>-30.0</c:v>
                  </c:pt>
                  <c:pt idx="39">
                    <c:v>-30.0</c:v>
                  </c:pt>
                  <c:pt idx="40">
                    <c:v>-30.0</c:v>
                  </c:pt>
                  <c:pt idx="41">
                    <c:v>-30.0</c:v>
                  </c:pt>
                  <c:pt idx="43">
                    <c:v>-30.0</c:v>
                  </c:pt>
                  <c:pt idx="44">
                    <c:v>-30.0</c:v>
                  </c:pt>
                  <c:pt idx="48">
                    <c:v>-50.0</c:v>
                  </c:pt>
                  <c:pt idx="49">
                    <c:v>-50.0</c:v>
                  </c:pt>
                  <c:pt idx="50">
                    <c:v>-50.0</c:v>
                  </c:pt>
                </c:numCache>
              </c:numRef>
            </c:minus>
            <c:spPr>
              <a:ln w="3175" cmpd="sng">
                <a:solidFill>
                  <a:schemeClr val="tx1"/>
                </a:solidFill>
                <a:prstDash val="solid"/>
                <a:round/>
                <a:headEnd type="none"/>
                <a:tailEnd type="none"/>
              </a:ln>
            </c:spPr>
          </c:errBars>
          <c:xVal>
            <c:numRef>
              <c:f>'Results Overview'!$G$12:$G$62</c:f>
              <c:numCache>
                <c:formatCode>0.00</c:formatCode>
                <c:ptCount val="51"/>
                <c:pt idx="0">
                  <c:v>-16.66666666666667</c:v>
                </c:pt>
                <c:pt idx="1">
                  <c:v>20.0</c:v>
                </c:pt>
                <c:pt idx="9">
                  <c:v>20.0</c:v>
                </c:pt>
                <c:pt idx="10">
                  <c:v>20.0</c:v>
                </c:pt>
                <c:pt idx="11">
                  <c:v>20.0</c:v>
                </c:pt>
                <c:pt idx="15">
                  <c:v>20.0</c:v>
                </c:pt>
                <c:pt idx="16">
                  <c:v>20.0</c:v>
                </c:pt>
                <c:pt idx="19">
                  <c:v>20.0</c:v>
                </c:pt>
                <c:pt idx="20">
                  <c:v>20.0</c:v>
                </c:pt>
                <c:pt idx="21">
                  <c:v>20.0</c:v>
                </c:pt>
                <c:pt idx="22">
                  <c:v>20.0</c:v>
                </c:pt>
                <c:pt idx="23">
                  <c:v>20.0</c:v>
                </c:pt>
                <c:pt idx="24">
                  <c:v>20.0</c:v>
                </c:pt>
                <c:pt idx="26">
                  <c:v>20.0</c:v>
                </c:pt>
                <c:pt idx="29">
                  <c:v>20.0</c:v>
                </c:pt>
                <c:pt idx="30">
                  <c:v>20.0</c:v>
                </c:pt>
                <c:pt idx="31">
                  <c:v>20.0</c:v>
                </c:pt>
                <c:pt idx="36">
                  <c:v>20.0</c:v>
                </c:pt>
                <c:pt idx="38">
                  <c:v>20.0</c:v>
                </c:pt>
                <c:pt idx="39">
                  <c:v>20.0</c:v>
                </c:pt>
                <c:pt idx="40">
                  <c:v>20.0</c:v>
                </c:pt>
                <c:pt idx="41">
                  <c:v>20.0</c:v>
                </c:pt>
                <c:pt idx="43">
                  <c:v>20.0</c:v>
                </c:pt>
                <c:pt idx="44">
                  <c:v>20.0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</c:numCache>
            </c:numRef>
          </c:xVal>
          <c:yVal>
            <c:numRef>
              <c:f>'Results Overview'!$N$12:$N$62</c:f>
              <c:numCache>
                <c:formatCode>General</c:formatCode>
                <c:ptCount val="51"/>
                <c:pt idx="0">
                  <c:v>50.5</c:v>
                </c:pt>
                <c:pt idx="1">
                  <c:v>49.5</c:v>
                </c:pt>
                <c:pt idx="2">
                  <c:v>48.5</c:v>
                </c:pt>
                <c:pt idx="3">
                  <c:v>47.5</c:v>
                </c:pt>
                <c:pt idx="4">
                  <c:v>46.5</c:v>
                </c:pt>
                <c:pt idx="5">
                  <c:v>45.5</c:v>
                </c:pt>
                <c:pt idx="6">
                  <c:v>44.5</c:v>
                </c:pt>
                <c:pt idx="7">
                  <c:v>43.5</c:v>
                </c:pt>
                <c:pt idx="8">
                  <c:v>42.5</c:v>
                </c:pt>
                <c:pt idx="9">
                  <c:v>41.5</c:v>
                </c:pt>
                <c:pt idx="10">
                  <c:v>40.5</c:v>
                </c:pt>
                <c:pt idx="11">
                  <c:v>39.5</c:v>
                </c:pt>
                <c:pt idx="12">
                  <c:v>38.5</c:v>
                </c:pt>
                <c:pt idx="13">
                  <c:v>37.5</c:v>
                </c:pt>
                <c:pt idx="14">
                  <c:v>36.5</c:v>
                </c:pt>
                <c:pt idx="15">
                  <c:v>35.5</c:v>
                </c:pt>
                <c:pt idx="16">
                  <c:v>34.5</c:v>
                </c:pt>
                <c:pt idx="17">
                  <c:v>33.5</c:v>
                </c:pt>
                <c:pt idx="18">
                  <c:v>32.5</c:v>
                </c:pt>
                <c:pt idx="19">
                  <c:v>31.5</c:v>
                </c:pt>
                <c:pt idx="20">
                  <c:v>30.5</c:v>
                </c:pt>
                <c:pt idx="21">
                  <c:v>29.5</c:v>
                </c:pt>
                <c:pt idx="22">
                  <c:v>28.5</c:v>
                </c:pt>
                <c:pt idx="23">
                  <c:v>27.5</c:v>
                </c:pt>
                <c:pt idx="24">
                  <c:v>26.5</c:v>
                </c:pt>
                <c:pt idx="25">
                  <c:v>25.5</c:v>
                </c:pt>
                <c:pt idx="26">
                  <c:v>24.5</c:v>
                </c:pt>
                <c:pt idx="27">
                  <c:v>23.5</c:v>
                </c:pt>
                <c:pt idx="28">
                  <c:v>22.5</c:v>
                </c:pt>
                <c:pt idx="29">
                  <c:v>21.5</c:v>
                </c:pt>
                <c:pt idx="30">
                  <c:v>20.5</c:v>
                </c:pt>
                <c:pt idx="31">
                  <c:v>19.5</c:v>
                </c:pt>
                <c:pt idx="32">
                  <c:v>18.5</c:v>
                </c:pt>
                <c:pt idx="33">
                  <c:v>17.5</c:v>
                </c:pt>
                <c:pt idx="34">
                  <c:v>16.5</c:v>
                </c:pt>
                <c:pt idx="35">
                  <c:v>15.5</c:v>
                </c:pt>
                <c:pt idx="36">
                  <c:v>14.5</c:v>
                </c:pt>
                <c:pt idx="37">
                  <c:v>13.5</c:v>
                </c:pt>
                <c:pt idx="38">
                  <c:v>12.5</c:v>
                </c:pt>
                <c:pt idx="39">
                  <c:v>11.5</c:v>
                </c:pt>
                <c:pt idx="40">
                  <c:v>10.5</c:v>
                </c:pt>
                <c:pt idx="41">
                  <c:v>9.5</c:v>
                </c:pt>
                <c:pt idx="42">
                  <c:v>8.5</c:v>
                </c:pt>
                <c:pt idx="43">
                  <c:v>7.5</c:v>
                </c:pt>
                <c:pt idx="44">
                  <c:v>6.5</c:v>
                </c:pt>
                <c:pt idx="45">
                  <c:v>5.5</c:v>
                </c:pt>
                <c:pt idx="46">
                  <c:v>4.5</c:v>
                </c:pt>
                <c:pt idx="47">
                  <c:v>3.5</c:v>
                </c:pt>
                <c:pt idx="48">
                  <c:v>2.5</c:v>
                </c:pt>
                <c:pt idx="49">
                  <c:v>1.5</c:v>
                </c:pt>
                <c:pt idx="50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561208"/>
        <c:axId val="2112564472"/>
      </c:scatterChart>
      <c:valAx>
        <c:axId val="2112561208"/>
        <c:scaling>
          <c:orientation val="minMax"/>
          <c:max val="80.0"/>
          <c:min val="20.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12564472"/>
        <c:crosses val="autoZero"/>
        <c:crossBetween val="midCat"/>
        <c:majorUnit val="10.0"/>
      </c:valAx>
      <c:valAx>
        <c:axId val="2112564472"/>
        <c:scaling>
          <c:orientation val="minMax"/>
          <c:max val="51.0"/>
          <c:min val="0.0"/>
        </c:scaling>
        <c:delete val="0"/>
        <c:axPos val="l"/>
        <c:numFmt formatCode="General" sourceLinked="1"/>
        <c:majorTickMark val="in"/>
        <c:minorTickMark val="out"/>
        <c:tickLblPos val="none"/>
        <c:spPr>
          <a:ln>
            <a:solidFill>
              <a:schemeClr val="tx1"/>
            </a:solidFill>
          </a:ln>
        </c:spPr>
        <c:crossAx val="2112561208"/>
        <c:crossesAt val="50.0"/>
        <c:crossBetween val="midCat"/>
        <c:majorUnit val="0.5"/>
        <c:minorUnit val="0.5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9524</xdr:rowOff>
    </xdr:from>
    <xdr:to>
      <xdr:col>12</xdr:col>
      <xdr:colOff>347133</xdr:colOff>
      <xdr:row>19</xdr:row>
      <xdr:rowOff>118533</xdr:rowOff>
    </xdr:to>
    <xdr:sp macro="[0]!PasteFromClipboard" textlink="">
      <xdr:nvSpPr>
        <xdr:cNvPr id="2" name="Rounded Rectangle 1"/>
        <xdr:cNvSpPr/>
      </xdr:nvSpPr>
      <xdr:spPr>
        <a:xfrm>
          <a:off x="203200" y="187324"/>
          <a:ext cx="4919133" cy="3309409"/>
        </a:xfrm>
        <a:prstGeom prst="roundRect">
          <a:avLst/>
        </a:prstGeom>
        <a:ln w="7620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t"/>
        <a:lstStyle/>
        <a:p>
          <a:pPr algn="ctr"/>
          <a:r>
            <a:rPr lang="en-US" sz="1200" b="1" u="sng">
              <a:latin typeface="Calibri" pitchFamily="34" charset="0"/>
            </a:rPr>
            <a:t>IMPORTANT</a:t>
          </a:r>
        </a:p>
        <a:p>
          <a:pPr algn="l"/>
          <a:endParaRPr lang="en-US" sz="1200" b="1">
            <a:latin typeface="Calibri" pitchFamily="34" charset="0"/>
          </a:endParaRPr>
        </a:p>
        <a:p>
          <a:pPr algn="l"/>
          <a:r>
            <a:rPr lang="en-US" sz="1200" b="1">
              <a:latin typeface="Calibri" pitchFamily="34" charset="0"/>
            </a:rPr>
            <a:t>1.  ENABLE MACRO ABOVE</a:t>
          </a:r>
        </a:p>
        <a:p>
          <a:pPr algn="l"/>
          <a:r>
            <a:rPr lang="en-US" sz="1200" b="1">
              <a:latin typeface="Calibri" pitchFamily="34" charset="0"/>
            </a:rPr>
            <a:t>2. Enter</a:t>
          </a:r>
          <a:r>
            <a:rPr lang="en-US" sz="1200" b="1" baseline="0">
              <a:latin typeface="Calibri" pitchFamily="34" charset="0"/>
            </a:rPr>
            <a:t> Qualitative and Raw scores </a:t>
          </a:r>
          <a:r>
            <a:rPr lang="en-US" sz="1200" b="1">
              <a:latin typeface="Calibri" pitchFamily="34" charset="0"/>
            </a:rPr>
            <a:t>-----------------------&gt;</a:t>
          </a:r>
        </a:p>
        <a:p>
          <a:pPr algn="l"/>
          <a:r>
            <a:rPr lang="en-US" sz="1200" b="1">
              <a:latin typeface="Calibri" pitchFamily="34" charset="0"/>
            </a:rPr>
            <a:t>3. SCORE BATTERY IN CNNS-SP</a:t>
          </a:r>
        </a:p>
        <a:p>
          <a:pPr algn="l"/>
          <a:r>
            <a:rPr lang="en-US" sz="1200" b="1">
              <a:latin typeface="Calibri" pitchFamily="34" charset="0"/>
            </a:rPr>
            <a:t>4. GENERATE REPORT IN CNNS-SP</a:t>
          </a:r>
        </a:p>
        <a:p>
          <a:pPr algn="l"/>
          <a:r>
            <a:rPr lang="en-US" sz="1200" b="1">
              <a:latin typeface="Calibri" pitchFamily="34" charset="0"/>
            </a:rPr>
            <a:t>5. FROM CNNS GENERATED REPORT, SELECT</a:t>
          </a:r>
          <a:r>
            <a:rPr lang="en-US" sz="1200" b="1" baseline="0">
              <a:latin typeface="Calibri" pitchFamily="34" charset="0"/>
            </a:rPr>
            <a:t> AND COPY REPORT OUTPUT </a:t>
          </a:r>
          <a:endParaRPr lang="en-US" sz="1200" b="1" u="sng" baseline="0">
            <a:latin typeface="Calibri" pitchFamily="34" charset="0"/>
          </a:endParaRPr>
        </a:p>
        <a:p>
          <a:pPr algn="l"/>
          <a:r>
            <a:rPr lang="en-US" sz="1200" b="1" u="none" baseline="0">
              <a:latin typeface="Calibri" pitchFamily="34" charset="0"/>
            </a:rPr>
            <a:t>	-Use Ctrl-A then Ctrl-C</a:t>
          </a:r>
        </a:p>
        <a:p>
          <a:pPr algn="l"/>
          <a:r>
            <a:rPr lang="en-US" sz="1200" b="1" u="none" baseline="0">
              <a:latin typeface="Calibri" pitchFamily="34" charset="0"/>
            </a:rPr>
            <a:t>	-This places data into clipboard</a:t>
          </a:r>
        </a:p>
        <a:p>
          <a:pPr algn="l"/>
          <a:endParaRPr lang="en-US" sz="1200" b="1" baseline="0">
            <a:latin typeface="Calibri" pitchFamily="34" charset="0"/>
          </a:endParaRPr>
        </a:p>
        <a:p>
          <a:pPr algn="l"/>
          <a:r>
            <a:rPr lang="en-US" sz="1200" b="1" baseline="0">
              <a:latin typeface="Calibri" pitchFamily="34" charset="0"/>
            </a:rPr>
            <a:t>6. PRESS THIS BUTTON</a:t>
          </a:r>
        </a:p>
        <a:p>
          <a:pPr algn="l"/>
          <a:r>
            <a:rPr lang="en-US" sz="1200" b="1" baseline="0">
              <a:latin typeface="Calibri" pitchFamily="34" charset="0"/>
            </a:rPr>
            <a:t>7. A summary overview will be created and a data Table will be posted into Notepad.</a:t>
          </a:r>
        </a:p>
        <a:p>
          <a:pPr algn="l"/>
          <a:r>
            <a:rPr lang="en-US" sz="1200" b="1" u="none" baseline="0">
              <a:latin typeface="Calibri" pitchFamily="34" charset="0"/>
            </a:rPr>
            <a:t>8. Copy and paste the output into your report.</a:t>
          </a:r>
          <a:endParaRPr lang="en-US" sz="1200" b="1" u="none">
            <a:latin typeface="Calibri" pitchFamily="34" charset="0"/>
          </a:endParaRPr>
        </a:p>
      </xdr:txBody>
    </xdr:sp>
    <xdr:clientData/>
  </xdr:twoCellAnchor>
  <xdr:twoCellAnchor>
    <xdr:from>
      <xdr:col>0</xdr:col>
      <xdr:colOff>152400</xdr:colOff>
      <xdr:row>20</xdr:row>
      <xdr:rowOff>59268</xdr:rowOff>
    </xdr:from>
    <xdr:to>
      <xdr:col>12</xdr:col>
      <xdr:colOff>237067</xdr:colOff>
      <xdr:row>30</xdr:row>
      <xdr:rowOff>30693</xdr:rowOff>
    </xdr:to>
    <xdr:sp macro="[0]!ClearFacePage" textlink="">
      <xdr:nvSpPr>
        <xdr:cNvPr id="3" name="Rounded Rectangle 2"/>
        <xdr:cNvSpPr/>
      </xdr:nvSpPr>
      <xdr:spPr>
        <a:xfrm>
          <a:off x="152400" y="3615268"/>
          <a:ext cx="4859867" cy="1749425"/>
        </a:xfrm>
        <a:prstGeom prst="roundRect">
          <a:avLst/>
        </a:prstGeom>
        <a:solidFill>
          <a:schemeClr val="accent6">
            <a:lumMod val="75000"/>
          </a:schemeClr>
        </a:solidFill>
        <a:ln w="76200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0"/>
        <a:lstStyle/>
        <a:p>
          <a:pPr algn="ctr"/>
          <a:r>
            <a:rPr lang="en-US" sz="1800" b="1" u="sng">
              <a:latin typeface="Calibri" pitchFamily="34" charset="0"/>
            </a:rPr>
            <a:t>PRESS</a:t>
          </a:r>
          <a:r>
            <a:rPr lang="en-US" sz="1800" b="1" u="sng" baseline="0">
              <a:latin typeface="Calibri" pitchFamily="34" charset="0"/>
            </a:rPr>
            <a:t> HERE WHEN FINISHED</a:t>
          </a:r>
          <a:endParaRPr lang="en-US" sz="1800" b="1" u="sng">
            <a:latin typeface="Calibri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7</xdr:col>
      <xdr:colOff>368300</xdr:colOff>
      <xdr:row>35</xdr:row>
      <xdr:rowOff>101600</xdr:rowOff>
    </xdr:to>
    <xdr:sp macro="" textlink="">
      <xdr:nvSpPr>
        <xdr:cNvPr id="1031" name="AutoShape 7"/>
        <xdr:cNvSpPr>
          <a:spLocks noChangeAspect="1" noChangeArrowheads="1"/>
        </xdr:cNvSpPr>
      </xdr:nvSpPr>
      <xdr:spPr bwMode="auto">
        <a:xfrm>
          <a:off x="0" y="6464300"/>
          <a:ext cx="3124200" cy="63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14</xdr:col>
      <xdr:colOff>546100</xdr:colOff>
      <xdr:row>54</xdr:row>
      <xdr:rowOff>190500</xdr:rowOff>
    </xdr:to>
    <xdr:sp macro="" textlink="">
      <xdr:nvSpPr>
        <xdr:cNvPr id="1032" name="AutoShape 8"/>
        <xdr:cNvSpPr>
          <a:spLocks noChangeAspect="1" noChangeArrowheads="1"/>
        </xdr:cNvSpPr>
      </xdr:nvSpPr>
      <xdr:spPr bwMode="auto">
        <a:xfrm>
          <a:off x="0" y="6464300"/>
          <a:ext cx="6057900" cy="579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555625</xdr:colOff>
      <xdr:row>10</xdr:row>
      <xdr:rowOff>0</xdr:rowOff>
    </xdr:from>
    <xdr:to>
      <xdr:col>4</xdr:col>
      <xdr:colOff>215900</xdr:colOff>
      <xdr:row>65</xdr:row>
      <xdr:rowOff>50800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209550</xdr:colOff>
      <xdr:row>1</xdr:row>
      <xdr:rowOff>38100</xdr:rowOff>
    </xdr:from>
    <xdr:to>
      <xdr:col>5</xdr:col>
      <xdr:colOff>1028700</xdr:colOff>
      <xdr:row>6</xdr:row>
      <xdr:rowOff>19050</xdr:rowOff>
    </xdr:to>
    <xdr:sp macro="[0]!Macro4" textlink="">
      <xdr:nvSpPr>
        <xdr:cNvPr id="4" name="Oval 3"/>
        <xdr:cNvSpPr/>
      </xdr:nvSpPr>
      <xdr:spPr>
        <a:xfrm>
          <a:off x="5645150" y="215900"/>
          <a:ext cx="819150" cy="869950"/>
        </a:xfrm>
        <a:prstGeom prst="ellipse">
          <a:avLst/>
        </a:prstGeom>
        <a:ln>
          <a:solidFill>
            <a:srgbClr val="3366FF"/>
          </a:solidFill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2">
                  <a:lumMod val="60000"/>
                  <a:lumOff val="40000"/>
                </a:schemeClr>
              </a:solidFill>
            </a:rPr>
            <a:t>PDF to Desk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387"/>
  <sheetViews>
    <sheetView showGridLines="0" tabSelected="1" zoomScale="150" zoomScaleNormal="150" zoomScalePageLayoutView="150" workbookViewId="0">
      <selection activeCell="P1" sqref="P1"/>
    </sheetView>
  </sheetViews>
  <sheetFormatPr baseColWidth="10" defaultColWidth="5.1640625" defaultRowHeight="12" x14ac:dyDescent="0"/>
  <cols>
    <col min="1" max="1" width="5.1640625" style="1"/>
    <col min="2" max="2" width="5.1640625" style="2"/>
    <col min="3" max="3" width="5.1640625" style="5"/>
    <col min="4" max="4" width="5.1640625" style="4"/>
    <col min="5" max="5" width="5.1640625" style="2"/>
    <col min="6" max="6" width="5.1640625" style="3"/>
    <col min="7" max="8" width="5.1640625" style="2"/>
    <col min="9" max="13" width="5.1640625" style="4"/>
    <col min="14" max="14" width="5.1640625" style="2"/>
    <col min="15" max="15" width="16.5" style="1" customWidth="1"/>
    <col min="16" max="16" width="13.33203125" style="4" customWidth="1"/>
    <col min="17" max="16384" width="5.1640625" style="4"/>
  </cols>
  <sheetData>
    <row r="1" spans="1:21" ht="14">
      <c r="A1"/>
      <c r="B1"/>
      <c r="C1"/>
      <c r="D1"/>
      <c r="E1"/>
      <c r="F1"/>
      <c r="G1"/>
      <c r="H1"/>
      <c r="I1"/>
      <c r="J1" s="19"/>
      <c r="K1" s="19"/>
      <c r="L1" s="19"/>
      <c r="M1" s="19"/>
      <c r="N1" s="19"/>
      <c r="O1" s="1" t="s">
        <v>1</v>
      </c>
      <c r="P1" s="80"/>
      <c r="Q1" s="4" t="s">
        <v>46</v>
      </c>
    </row>
    <row r="2" spans="1:21" ht="14">
      <c r="A2"/>
      <c r="B2"/>
      <c r="C2"/>
      <c r="D2"/>
      <c r="E2"/>
      <c r="F2"/>
      <c r="G2"/>
      <c r="H2"/>
      <c r="I2"/>
      <c r="J2" s="19"/>
      <c r="K2" s="19"/>
      <c r="L2" s="19"/>
      <c r="M2" s="19"/>
      <c r="N2" s="19"/>
      <c r="O2" s="1" t="s">
        <v>47</v>
      </c>
      <c r="P2" s="80"/>
    </row>
    <row r="3" spans="1:21" ht="14">
      <c r="A3"/>
      <c r="B3"/>
      <c r="C3"/>
      <c r="D3"/>
      <c r="E3"/>
      <c r="F3"/>
      <c r="G3"/>
      <c r="H3"/>
      <c r="I3"/>
      <c r="J3" s="19"/>
      <c r="K3" s="19"/>
      <c r="L3" s="19"/>
      <c r="M3" s="19"/>
      <c r="N3" s="19"/>
      <c r="O3" s="1" t="s">
        <v>2</v>
      </c>
      <c r="P3" s="81"/>
      <c r="Q3" s="4" t="s">
        <v>48</v>
      </c>
    </row>
    <row r="4" spans="1:21" ht="14">
      <c r="A4"/>
      <c r="B4"/>
      <c r="C4"/>
      <c r="D4"/>
      <c r="E4"/>
      <c r="F4"/>
      <c r="G4"/>
      <c r="H4"/>
      <c r="I4"/>
      <c r="J4" s="19"/>
      <c r="K4" s="19"/>
      <c r="L4" s="19"/>
      <c r="M4" s="19"/>
      <c r="N4" s="19"/>
      <c r="O4" s="1" t="s">
        <v>3</v>
      </c>
      <c r="P4" s="81"/>
      <c r="Q4" s="4" t="s">
        <v>49</v>
      </c>
    </row>
    <row r="5" spans="1:21" ht="14">
      <c r="A5"/>
      <c r="B5"/>
      <c r="C5"/>
      <c r="D5"/>
      <c r="E5"/>
      <c r="F5"/>
      <c r="G5"/>
      <c r="H5"/>
      <c r="I5"/>
      <c r="J5" s="19"/>
      <c r="K5" s="19"/>
      <c r="L5" s="19"/>
      <c r="M5" s="19"/>
      <c r="N5" s="19"/>
      <c r="O5" s="1" t="s">
        <v>4</v>
      </c>
      <c r="P5" s="79"/>
      <c r="Q5" s="4" t="s">
        <v>55</v>
      </c>
    </row>
    <row r="6" spans="1:21" ht="14">
      <c r="A6"/>
      <c r="B6"/>
      <c r="C6"/>
      <c r="D6"/>
      <c r="E6"/>
      <c r="F6"/>
      <c r="G6"/>
      <c r="H6"/>
      <c r="I6"/>
      <c r="J6" s="19"/>
      <c r="K6" s="19"/>
      <c r="L6" s="19"/>
      <c r="M6" s="19"/>
      <c r="N6" s="19"/>
      <c r="O6" s="1" t="s">
        <v>50</v>
      </c>
      <c r="P6" s="80"/>
    </row>
    <row r="7" spans="1:21" ht="14">
      <c r="A7"/>
      <c r="B7"/>
      <c r="C7"/>
      <c r="D7"/>
      <c r="E7"/>
      <c r="F7"/>
      <c r="G7"/>
      <c r="H7"/>
      <c r="I7"/>
      <c r="J7" s="19"/>
      <c r="K7" s="19"/>
      <c r="L7" s="19"/>
      <c r="M7" s="19"/>
      <c r="N7" s="19"/>
      <c r="O7" s="1" t="s">
        <v>51</v>
      </c>
      <c r="P7" s="90"/>
    </row>
    <row r="8" spans="1:21" ht="14">
      <c r="A8"/>
      <c r="B8"/>
      <c r="C8"/>
      <c r="D8"/>
      <c r="E8"/>
      <c r="F8"/>
      <c r="G8"/>
      <c r="H8"/>
      <c r="I8"/>
      <c r="J8" s="19"/>
      <c r="K8" s="19"/>
      <c r="L8" s="19"/>
      <c r="M8" s="19"/>
      <c r="N8" s="19"/>
      <c r="P8" s="19"/>
      <c r="U8"/>
    </row>
    <row r="9" spans="1:21" ht="14">
      <c r="A9"/>
      <c r="B9"/>
      <c r="C9"/>
      <c r="D9"/>
      <c r="E9"/>
      <c r="F9"/>
      <c r="G9"/>
      <c r="H9"/>
      <c r="I9"/>
      <c r="J9" s="19"/>
      <c r="K9" s="19"/>
      <c r="L9" s="19"/>
      <c r="M9" s="19"/>
      <c r="N9" s="19"/>
      <c r="O9" s="1" t="s">
        <v>9</v>
      </c>
      <c r="P9" s="19"/>
      <c r="U9"/>
    </row>
    <row r="10" spans="1:21" ht="14">
      <c r="A10"/>
      <c r="B10"/>
      <c r="C10"/>
      <c r="D10"/>
      <c r="E10"/>
      <c r="F10"/>
      <c r="G10"/>
      <c r="H10"/>
      <c r="I10"/>
      <c r="J10" s="19"/>
      <c r="K10" s="19"/>
      <c r="L10" s="19"/>
      <c r="M10" s="19"/>
      <c r="N10" s="19"/>
      <c r="O10" s="12" t="s">
        <v>10</v>
      </c>
      <c r="P10" s="90"/>
      <c r="Q10" s="4" t="s">
        <v>6</v>
      </c>
      <c r="U10"/>
    </row>
    <row r="11" spans="1:21" ht="14">
      <c r="A11"/>
      <c r="B11"/>
      <c r="C11"/>
      <c r="D11"/>
      <c r="E11"/>
      <c r="F11"/>
      <c r="G11"/>
      <c r="H11"/>
      <c r="I11"/>
      <c r="J11" s="19"/>
      <c r="K11" s="19"/>
      <c r="L11" s="19"/>
      <c r="M11" s="19"/>
      <c r="N11" s="19"/>
      <c r="O11" s="13" t="s">
        <v>11</v>
      </c>
      <c r="P11" s="90"/>
      <c r="Q11" s="4" t="s">
        <v>6</v>
      </c>
      <c r="U11"/>
    </row>
    <row r="12" spans="1:21" ht="14">
      <c r="A12"/>
      <c r="B12"/>
      <c r="C12"/>
      <c r="D12"/>
      <c r="E12"/>
      <c r="F12"/>
      <c r="G12"/>
      <c r="H12"/>
      <c r="I12"/>
      <c r="J12" s="19"/>
      <c r="K12" s="19"/>
      <c r="L12" s="19"/>
      <c r="M12" s="19"/>
      <c r="N12" s="19"/>
      <c r="O12" s="12" t="s">
        <v>12</v>
      </c>
      <c r="P12" s="90"/>
      <c r="Q12" s="4" t="s">
        <v>6</v>
      </c>
      <c r="U12"/>
    </row>
    <row r="13" spans="1:21" ht="14">
      <c r="A13"/>
      <c r="B13"/>
      <c r="C13"/>
      <c r="D13"/>
      <c r="E13"/>
      <c r="F13"/>
      <c r="G13"/>
      <c r="H13"/>
      <c r="I13"/>
      <c r="J13" s="19"/>
      <c r="K13" s="19"/>
      <c r="L13" s="19"/>
      <c r="M13" s="19"/>
      <c r="N13" s="19"/>
      <c r="O13" s="13" t="s">
        <v>13</v>
      </c>
      <c r="P13" s="90"/>
      <c r="Q13" s="4" t="s">
        <v>6</v>
      </c>
      <c r="U13"/>
    </row>
    <row r="14" spans="1:21" ht="14">
      <c r="A14"/>
      <c r="B14"/>
      <c r="C14"/>
      <c r="D14"/>
      <c r="E14"/>
      <c r="F14"/>
      <c r="G14"/>
      <c r="H14"/>
      <c r="I14"/>
      <c r="J14" s="19"/>
      <c r="K14" s="19"/>
      <c r="L14" s="19"/>
      <c r="M14" s="19"/>
      <c r="N14" s="19"/>
      <c r="O14" s="12" t="s">
        <v>14</v>
      </c>
      <c r="P14" s="90"/>
      <c r="Q14" s="4" t="s">
        <v>6</v>
      </c>
      <c r="U14"/>
    </row>
    <row r="15" spans="1:21" ht="14">
      <c r="A15"/>
      <c r="B15"/>
      <c r="C15"/>
      <c r="D15"/>
      <c r="E15"/>
      <c r="F15"/>
      <c r="G15"/>
      <c r="H15"/>
      <c r="I15"/>
      <c r="J15" s="19"/>
      <c r="K15" s="19"/>
      <c r="L15" s="19"/>
      <c r="M15" s="19"/>
      <c r="N15" s="19"/>
      <c r="O15" s="13"/>
      <c r="P15" s="91"/>
      <c r="U15"/>
    </row>
    <row r="16" spans="1:21" ht="14">
      <c r="A16"/>
      <c r="B16"/>
      <c r="C16"/>
      <c r="D16"/>
      <c r="E16"/>
      <c r="F16"/>
      <c r="G16"/>
      <c r="H16"/>
      <c r="I16"/>
      <c r="J16" s="19"/>
      <c r="K16" s="19"/>
      <c r="L16" s="19"/>
      <c r="M16" s="19"/>
      <c r="N16" s="19"/>
      <c r="O16" s="14" t="s">
        <v>19</v>
      </c>
      <c r="P16" s="91"/>
      <c r="U16"/>
    </row>
    <row r="17" spans="1:21" ht="14">
      <c r="A17"/>
      <c r="B17"/>
      <c r="C17"/>
      <c r="D17"/>
      <c r="E17"/>
      <c r="F17"/>
      <c r="G17"/>
      <c r="H17"/>
      <c r="I17"/>
      <c r="J17" s="19"/>
      <c r="K17" s="19"/>
      <c r="L17" s="19"/>
      <c r="M17" s="19"/>
      <c r="N17" s="19"/>
      <c r="O17" s="15" t="s">
        <v>20</v>
      </c>
      <c r="P17" s="90"/>
      <c r="Q17" s="4" t="s">
        <v>45</v>
      </c>
      <c r="U17"/>
    </row>
    <row r="18" spans="1:21" ht="14">
      <c r="A18"/>
      <c r="B18"/>
      <c r="C18"/>
      <c r="D18"/>
      <c r="E18"/>
      <c r="F18"/>
      <c r="G18"/>
      <c r="H18"/>
      <c r="I18"/>
      <c r="J18" s="19"/>
      <c r="K18" s="19"/>
      <c r="L18" s="19"/>
      <c r="M18" s="19"/>
      <c r="N18" s="19"/>
      <c r="O18" s="10"/>
      <c r="P18" s="91"/>
      <c r="U18"/>
    </row>
    <row r="19" spans="1:21" ht="14">
      <c r="A19"/>
      <c r="B19"/>
      <c r="C19"/>
      <c r="D19"/>
      <c r="E19"/>
      <c r="F19"/>
      <c r="G19"/>
      <c r="H19"/>
      <c r="I19"/>
      <c r="J19" s="19"/>
      <c r="K19" s="19"/>
      <c r="L19" s="19"/>
      <c r="M19" s="19"/>
      <c r="N19" s="19"/>
      <c r="O19" s="10" t="s">
        <v>34</v>
      </c>
      <c r="P19" s="90"/>
      <c r="Q19" s="4" t="s">
        <v>45</v>
      </c>
      <c r="U19"/>
    </row>
    <row r="20" spans="1:21" ht="14">
      <c r="A20"/>
      <c r="B20"/>
      <c r="C20"/>
      <c r="D20"/>
      <c r="E20"/>
      <c r="F20"/>
      <c r="G20"/>
      <c r="H20"/>
      <c r="I20"/>
      <c r="J20" s="19"/>
      <c r="K20" s="19"/>
      <c r="L20" s="19"/>
      <c r="M20" s="19"/>
      <c r="N20" s="19"/>
      <c r="O20" s="7" t="s">
        <v>35</v>
      </c>
      <c r="P20" s="90"/>
      <c r="Q20" s="4" t="s">
        <v>45</v>
      </c>
      <c r="U20"/>
    </row>
    <row r="21" spans="1:21" ht="14">
      <c r="A21"/>
      <c r="B21"/>
      <c r="C21"/>
      <c r="D21"/>
      <c r="E21"/>
      <c r="F21"/>
      <c r="G21"/>
      <c r="H21"/>
      <c r="I21"/>
      <c r="J21" s="19"/>
      <c r="K21" s="19"/>
      <c r="L21" s="19"/>
      <c r="M21" s="19"/>
      <c r="N21" s="19"/>
      <c r="O21" s="10" t="s">
        <v>38</v>
      </c>
      <c r="P21" s="92"/>
      <c r="U21"/>
    </row>
    <row r="22" spans="1:21" ht="14">
      <c r="A22"/>
      <c r="B22"/>
      <c r="C22"/>
      <c r="D22"/>
      <c r="E22"/>
      <c r="F22"/>
      <c r="G22"/>
      <c r="H22"/>
      <c r="I22"/>
      <c r="J22" s="19"/>
      <c r="K22" s="19"/>
      <c r="L22" s="19"/>
      <c r="M22" s="19"/>
      <c r="N22" s="19"/>
      <c r="O22" s="12" t="s">
        <v>65</v>
      </c>
      <c r="P22" s="93"/>
      <c r="Q22" s="4" t="s">
        <v>6</v>
      </c>
      <c r="U22"/>
    </row>
    <row r="23" spans="1:21" ht="14">
      <c r="A23"/>
      <c r="B23"/>
      <c r="C23"/>
      <c r="D23"/>
      <c r="E23"/>
      <c r="F23"/>
      <c r="G23"/>
      <c r="H23"/>
      <c r="I23"/>
      <c r="J23" s="19"/>
      <c r="K23" s="19"/>
      <c r="L23" s="19"/>
      <c r="M23" s="19"/>
      <c r="N23" s="19"/>
      <c r="O23" s="13" t="s">
        <v>52</v>
      </c>
      <c r="P23" s="94"/>
      <c r="U23"/>
    </row>
    <row r="24" spans="1:21" ht="14">
      <c r="A24"/>
      <c r="B24"/>
      <c r="C24"/>
      <c r="D24"/>
      <c r="E24"/>
      <c r="F24"/>
      <c r="G24"/>
      <c r="H24"/>
      <c r="I24"/>
      <c r="J24" s="19"/>
      <c r="K24" s="19"/>
      <c r="L24" s="19"/>
      <c r="M24" s="19"/>
      <c r="N24" s="19"/>
      <c r="O24" s="16" t="s">
        <v>53</v>
      </c>
      <c r="P24" s="95"/>
      <c r="Q24" s="4" t="s">
        <v>6</v>
      </c>
      <c r="U24"/>
    </row>
    <row r="25" spans="1:21" ht="14">
      <c r="A25"/>
      <c r="B25"/>
      <c r="C25"/>
      <c r="D25"/>
      <c r="E25"/>
      <c r="F25"/>
      <c r="G25"/>
      <c r="H25"/>
      <c r="I25"/>
      <c r="J25" s="19"/>
      <c r="K25" s="19"/>
      <c r="L25" s="19"/>
      <c r="M25" s="19"/>
      <c r="N25" s="19"/>
      <c r="O25" s="5" t="s">
        <v>54</v>
      </c>
      <c r="P25" s="90"/>
      <c r="Q25" s="17" t="s">
        <v>6</v>
      </c>
      <c r="U25"/>
    </row>
    <row r="26" spans="1:21" ht="14">
      <c r="A26"/>
      <c r="B26"/>
      <c r="C26"/>
      <c r="D26"/>
      <c r="E26"/>
      <c r="F26"/>
      <c r="G26"/>
      <c r="H26"/>
      <c r="I26"/>
      <c r="J26" s="19"/>
      <c r="K26" s="19"/>
      <c r="L26" s="19"/>
      <c r="M26" s="19"/>
      <c r="N26" s="19"/>
      <c r="O26" s="18"/>
      <c r="P26" s="19"/>
      <c r="U26"/>
    </row>
    <row r="27" spans="1:21" ht="14">
      <c r="A27"/>
      <c r="B27"/>
      <c r="C27"/>
      <c r="D27"/>
      <c r="E27"/>
      <c r="F27"/>
      <c r="G27"/>
      <c r="H27"/>
      <c r="I27"/>
      <c r="J27" s="19"/>
      <c r="K27" s="19"/>
      <c r="L27" s="19"/>
      <c r="M27" s="19"/>
      <c r="N27" s="19"/>
      <c r="O27" s="18"/>
      <c r="P27" s="19"/>
      <c r="U27"/>
    </row>
    <row r="28" spans="1:21" ht="14">
      <c r="A28"/>
      <c r="B28"/>
      <c r="C28"/>
      <c r="D28"/>
      <c r="E28"/>
      <c r="F28"/>
      <c r="G28"/>
      <c r="H28"/>
      <c r="I28"/>
      <c r="J28" s="19"/>
      <c r="K28" s="19"/>
      <c r="L28" s="19"/>
      <c r="M28" s="19"/>
      <c r="N28" s="19"/>
      <c r="O28" s="18"/>
      <c r="P28" s="19"/>
      <c r="U28"/>
    </row>
    <row r="29" spans="1:21" ht="14">
      <c r="A29"/>
      <c r="B29"/>
      <c r="C29"/>
      <c r="D29"/>
      <c r="E29"/>
      <c r="F29"/>
      <c r="G29"/>
      <c r="H29"/>
      <c r="I29"/>
      <c r="J29" s="19"/>
      <c r="K29" s="19"/>
      <c r="L29" s="19"/>
      <c r="M29" s="19"/>
      <c r="N29" s="19"/>
      <c r="P29" s="20"/>
      <c r="U29"/>
    </row>
    <row r="30" spans="1:21" ht="14">
      <c r="A30"/>
      <c r="B30"/>
      <c r="C30"/>
      <c r="D30"/>
      <c r="E30"/>
      <c r="F30"/>
      <c r="G30"/>
      <c r="H30"/>
      <c r="I30"/>
      <c r="J30" s="19"/>
      <c r="K30" s="19"/>
      <c r="L30" s="19"/>
      <c r="M30" s="19"/>
      <c r="N30" s="19"/>
      <c r="P30" s="19"/>
      <c r="U30"/>
    </row>
    <row r="31" spans="1:21" ht="45" customHeight="1">
      <c r="A31"/>
      <c r="B31"/>
      <c r="C31"/>
      <c r="D31"/>
      <c r="E31"/>
      <c r="F31"/>
      <c r="G31"/>
      <c r="H31"/>
      <c r="I31"/>
      <c r="J31" s="19"/>
      <c r="K31" s="19"/>
      <c r="L31" s="19"/>
      <c r="M31" s="19"/>
      <c r="N31" s="19"/>
      <c r="P31" s="19"/>
    </row>
    <row r="32" spans="1:21" ht="30.75" customHeight="1">
      <c r="A32"/>
      <c r="B32"/>
      <c r="C32"/>
      <c r="D32"/>
      <c r="E32"/>
      <c r="F32"/>
      <c r="G32"/>
      <c r="H32"/>
      <c r="I32"/>
      <c r="J32" s="19"/>
      <c r="K32" s="19"/>
      <c r="L32" s="19"/>
      <c r="M32" s="19"/>
      <c r="N32" s="19"/>
      <c r="P32" s="19"/>
    </row>
    <row r="33" spans="1:23" ht="14">
      <c r="A33" s="82"/>
      <c r="B33" s="82"/>
      <c r="C33" s="82"/>
      <c r="D33" s="82"/>
      <c r="E33" s="82"/>
      <c r="F33" s="82"/>
      <c r="G33" s="82"/>
      <c r="H33" s="82"/>
      <c r="I33" s="82"/>
      <c r="J33" s="83"/>
      <c r="K33" s="83"/>
      <c r="L33" s="83"/>
      <c r="M33" s="83"/>
      <c r="N33" s="83"/>
      <c r="O33" s="84"/>
      <c r="P33" s="83"/>
      <c r="Q33" s="85"/>
      <c r="R33" s="85"/>
      <c r="S33" s="85"/>
      <c r="T33" s="85"/>
      <c r="U33" s="85"/>
      <c r="V33" s="85"/>
      <c r="W33" s="85"/>
    </row>
    <row r="34" spans="1:23" ht="21" customHeight="1">
      <c r="A34" s="84"/>
      <c r="B34" s="86"/>
      <c r="C34" s="87"/>
      <c r="D34" s="85"/>
      <c r="E34" s="86"/>
      <c r="F34" s="88"/>
      <c r="G34" s="86"/>
      <c r="H34" s="86"/>
      <c r="I34" s="85"/>
      <c r="J34" s="85"/>
      <c r="K34" s="85"/>
      <c r="L34" s="85"/>
      <c r="M34" s="85"/>
      <c r="N34" s="86"/>
      <c r="O34" s="84"/>
      <c r="P34" s="85"/>
      <c r="Q34" s="85"/>
      <c r="R34" s="85"/>
      <c r="S34" s="85"/>
      <c r="T34" s="85"/>
      <c r="U34" s="85"/>
      <c r="V34" s="85"/>
      <c r="W34" s="85"/>
    </row>
    <row r="35" spans="1:23" ht="21" customHeight="1">
      <c r="A35" s="84"/>
      <c r="B35" s="86"/>
      <c r="C35" s="87"/>
      <c r="D35" s="85"/>
      <c r="E35" s="86"/>
      <c r="F35" s="88"/>
      <c r="G35" s="86"/>
      <c r="H35" s="86"/>
      <c r="I35" s="85"/>
      <c r="J35" s="85"/>
      <c r="K35" s="85"/>
      <c r="L35" s="85"/>
      <c r="M35" s="85"/>
      <c r="N35" s="86"/>
      <c r="O35" s="84"/>
      <c r="P35" s="85"/>
      <c r="Q35" s="85"/>
      <c r="R35" s="85"/>
      <c r="S35" s="85"/>
      <c r="T35" s="85"/>
      <c r="U35" s="85"/>
      <c r="V35" s="85"/>
      <c r="W35" s="85"/>
    </row>
    <row r="36" spans="1:23" ht="21" customHeight="1">
      <c r="A36" s="84"/>
      <c r="B36" s="86"/>
      <c r="C36" s="87"/>
      <c r="D36" s="85"/>
      <c r="E36" s="86"/>
      <c r="F36" s="88"/>
      <c r="G36" s="86"/>
      <c r="H36" s="86"/>
      <c r="I36" s="85"/>
      <c r="J36" s="85"/>
      <c r="K36" s="85"/>
      <c r="L36" s="85"/>
      <c r="M36" s="85"/>
      <c r="N36" s="86"/>
      <c r="O36" s="84"/>
      <c r="P36" s="85"/>
      <c r="Q36" s="85"/>
      <c r="R36" s="85"/>
      <c r="S36" s="85"/>
      <c r="T36" s="85"/>
      <c r="U36" s="85"/>
      <c r="V36" s="85"/>
      <c r="W36" s="85"/>
    </row>
    <row r="37" spans="1:23" ht="21" customHeight="1">
      <c r="A37" s="84"/>
      <c r="B37" s="86"/>
      <c r="C37" s="87"/>
      <c r="D37" s="85"/>
      <c r="E37" s="86"/>
      <c r="F37" s="88"/>
      <c r="G37" s="86"/>
      <c r="H37" s="86"/>
      <c r="I37" s="85"/>
      <c r="J37" s="85"/>
      <c r="K37" s="85"/>
      <c r="L37" s="85"/>
      <c r="M37" s="85"/>
      <c r="N37" s="86"/>
      <c r="O37" s="84"/>
      <c r="P37" s="85"/>
      <c r="Q37" s="85"/>
      <c r="R37" s="85"/>
      <c r="S37" s="85"/>
      <c r="T37" s="85"/>
      <c r="U37" s="85"/>
      <c r="V37" s="85"/>
      <c r="W37" s="85"/>
    </row>
    <row r="38" spans="1:23" ht="21" customHeight="1">
      <c r="A38" s="84"/>
      <c r="B38" s="86"/>
      <c r="C38" s="87"/>
      <c r="D38" s="85"/>
      <c r="E38" s="86"/>
      <c r="F38" s="88"/>
      <c r="G38" s="86"/>
      <c r="H38" s="86"/>
      <c r="I38" s="85"/>
      <c r="J38" s="85"/>
      <c r="K38" s="85"/>
      <c r="L38" s="85"/>
      <c r="M38" s="85"/>
      <c r="N38" s="86"/>
      <c r="O38" s="84"/>
      <c r="P38" s="85"/>
      <c r="Q38" s="85"/>
      <c r="R38" s="85"/>
      <c r="S38" s="85"/>
      <c r="T38" s="85"/>
      <c r="U38" s="85"/>
      <c r="V38" s="85"/>
      <c r="W38" s="85"/>
    </row>
    <row r="39" spans="1:23" ht="21" customHeight="1">
      <c r="A39" s="84"/>
      <c r="B39" s="86"/>
      <c r="C39" s="87"/>
      <c r="D39" s="85"/>
      <c r="E39" s="86"/>
      <c r="F39" s="88"/>
      <c r="G39" s="86"/>
      <c r="H39" s="86"/>
      <c r="I39" s="85"/>
      <c r="J39" s="85"/>
      <c r="K39" s="85"/>
      <c r="L39" s="85"/>
      <c r="M39" s="85"/>
      <c r="N39" s="86"/>
      <c r="O39" s="84"/>
      <c r="P39" s="85"/>
      <c r="Q39" s="85"/>
      <c r="R39" s="85"/>
      <c r="S39" s="85"/>
      <c r="T39" s="85"/>
      <c r="U39" s="85"/>
      <c r="V39" s="85"/>
      <c r="W39" s="85"/>
    </row>
    <row r="40" spans="1:23" ht="21" customHeight="1">
      <c r="A40" s="84"/>
      <c r="B40" s="86"/>
      <c r="C40" s="87"/>
      <c r="D40" s="85"/>
      <c r="E40" s="86"/>
      <c r="F40" s="88"/>
      <c r="G40" s="86"/>
      <c r="H40" s="86"/>
      <c r="I40" s="85"/>
      <c r="J40" s="85"/>
      <c r="K40" s="85"/>
      <c r="L40" s="85"/>
      <c r="M40" s="85"/>
      <c r="N40" s="86"/>
      <c r="O40" s="84"/>
      <c r="P40" s="85"/>
      <c r="Q40" s="85"/>
      <c r="R40" s="85"/>
      <c r="S40" s="85"/>
      <c r="T40" s="85"/>
      <c r="U40" s="85"/>
      <c r="V40" s="85"/>
      <c r="W40" s="85"/>
    </row>
    <row r="41" spans="1:23" ht="21" customHeight="1">
      <c r="A41" s="84"/>
      <c r="B41" s="86"/>
      <c r="C41" s="87"/>
      <c r="D41" s="85"/>
      <c r="E41" s="86"/>
      <c r="F41" s="88"/>
      <c r="G41" s="86"/>
      <c r="H41" s="86"/>
      <c r="I41" s="85"/>
      <c r="J41" s="85"/>
      <c r="K41" s="85"/>
      <c r="L41" s="85"/>
      <c r="M41" s="85"/>
      <c r="N41" s="86"/>
      <c r="O41" s="84"/>
      <c r="P41" s="85"/>
      <c r="Q41" s="85"/>
      <c r="R41" s="85"/>
      <c r="S41" s="85"/>
      <c r="T41" s="85"/>
      <c r="U41" s="85"/>
      <c r="V41" s="85"/>
      <c r="W41" s="85"/>
    </row>
    <row r="42" spans="1:23" ht="21" customHeight="1">
      <c r="A42" s="84"/>
      <c r="B42" s="86"/>
      <c r="C42" s="87"/>
      <c r="D42" s="85"/>
      <c r="E42" s="86"/>
      <c r="F42" s="88"/>
      <c r="G42" s="86"/>
      <c r="H42" s="86"/>
      <c r="I42" s="85"/>
      <c r="J42" s="85"/>
      <c r="K42" s="85"/>
      <c r="L42" s="85"/>
      <c r="M42" s="85"/>
      <c r="N42" s="86"/>
      <c r="O42" s="84"/>
      <c r="P42" s="85"/>
      <c r="Q42" s="85"/>
      <c r="R42" s="85"/>
      <c r="S42" s="85"/>
      <c r="T42" s="85"/>
      <c r="U42" s="85"/>
      <c r="V42" s="85"/>
      <c r="W42" s="85"/>
    </row>
    <row r="43" spans="1:23" ht="21" customHeight="1">
      <c r="A43" s="84"/>
      <c r="B43" s="86"/>
      <c r="C43" s="87"/>
      <c r="D43" s="85"/>
      <c r="E43" s="86"/>
      <c r="F43" s="88"/>
      <c r="G43" s="86"/>
      <c r="H43" s="86"/>
      <c r="I43" s="85"/>
      <c r="J43" s="85"/>
      <c r="K43" s="85"/>
      <c r="L43" s="85"/>
      <c r="M43" s="85"/>
      <c r="N43" s="86"/>
      <c r="O43" s="84"/>
      <c r="P43" s="85"/>
      <c r="Q43" s="85"/>
      <c r="R43" s="85"/>
      <c r="S43" s="85"/>
      <c r="T43" s="85"/>
      <c r="U43" s="85"/>
      <c r="V43" s="85"/>
      <c r="W43" s="85"/>
    </row>
    <row r="44" spans="1:23" ht="21" customHeight="1">
      <c r="A44" s="84"/>
      <c r="B44" s="86"/>
      <c r="C44" s="87"/>
      <c r="D44" s="85"/>
      <c r="E44" s="86"/>
      <c r="F44" s="88"/>
      <c r="G44" s="86"/>
      <c r="H44" s="86"/>
      <c r="I44" s="85"/>
      <c r="J44" s="85"/>
      <c r="K44" s="85"/>
      <c r="L44" s="85"/>
      <c r="M44" s="85"/>
      <c r="N44" s="86"/>
      <c r="O44" s="84"/>
      <c r="P44" s="85"/>
      <c r="Q44" s="85"/>
      <c r="R44" s="85"/>
      <c r="S44" s="85"/>
      <c r="T44" s="85"/>
      <c r="U44" s="85"/>
      <c r="V44" s="85"/>
      <c r="W44" s="85"/>
    </row>
    <row r="45" spans="1:23" ht="21" customHeight="1">
      <c r="A45" s="84"/>
      <c r="B45" s="86"/>
      <c r="C45" s="87"/>
      <c r="D45" s="85"/>
      <c r="E45" s="86"/>
      <c r="F45" s="88"/>
      <c r="G45" s="86"/>
      <c r="H45" s="86"/>
      <c r="I45" s="85"/>
      <c r="J45" s="85"/>
      <c r="K45" s="85"/>
      <c r="L45" s="85"/>
      <c r="M45" s="85"/>
      <c r="N45" s="86"/>
      <c r="O45" s="84"/>
      <c r="P45" s="85"/>
      <c r="Q45" s="85"/>
      <c r="R45" s="85"/>
      <c r="S45" s="85"/>
      <c r="T45" s="85"/>
      <c r="U45" s="85"/>
      <c r="V45" s="85"/>
      <c r="W45" s="85"/>
    </row>
    <row r="46" spans="1:23" ht="21" customHeight="1">
      <c r="A46" s="84"/>
      <c r="B46" s="86"/>
      <c r="C46" s="87"/>
      <c r="D46" s="85"/>
      <c r="E46" s="86"/>
      <c r="F46" s="88"/>
      <c r="G46" s="86"/>
      <c r="H46" s="86"/>
      <c r="I46" s="85"/>
      <c r="J46" s="85"/>
      <c r="K46" s="85"/>
      <c r="L46" s="85"/>
      <c r="M46" s="85"/>
      <c r="N46" s="86"/>
      <c r="O46" s="84"/>
      <c r="P46" s="85"/>
      <c r="Q46" s="85"/>
      <c r="R46" s="85"/>
      <c r="S46" s="85"/>
      <c r="T46" s="85"/>
      <c r="U46" s="85"/>
      <c r="V46" s="85"/>
      <c r="W46" s="85"/>
    </row>
    <row r="47" spans="1:23" ht="21" customHeight="1">
      <c r="A47" s="84"/>
      <c r="B47" s="86"/>
      <c r="C47" s="89"/>
      <c r="D47" s="85"/>
      <c r="E47" s="86"/>
      <c r="F47" s="88"/>
      <c r="G47" s="86"/>
      <c r="H47" s="86"/>
      <c r="I47" s="85"/>
      <c r="J47" s="85"/>
      <c r="K47" s="85"/>
      <c r="L47" s="85"/>
      <c r="M47" s="85"/>
      <c r="N47" s="86"/>
      <c r="O47" s="84"/>
      <c r="P47" s="85"/>
      <c r="Q47" s="85"/>
      <c r="R47" s="85"/>
      <c r="S47" s="85"/>
      <c r="T47" s="85"/>
      <c r="U47" s="85"/>
      <c r="V47" s="85"/>
      <c r="W47" s="85"/>
    </row>
    <row r="48" spans="1:23" ht="21" customHeight="1">
      <c r="A48" s="84"/>
      <c r="B48" s="86"/>
      <c r="C48" s="89"/>
      <c r="D48" s="85"/>
      <c r="E48" s="86"/>
      <c r="F48" s="88"/>
      <c r="G48" s="86"/>
      <c r="H48" s="86"/>
      <c r="I48" s="85"/>
      <c r="J48" s="85"/>
      <c r="K48" s="85"/>
      <c r="L48" s="85"/>
      <c r="M48" s="85"/>
      <c r="N48" s="86"/>
      <c r="O48" s="84"/>
      <c r="P48" s="85"/>
      <c r="Q48" s="85"/>
      <c r="R48" s="85"/>
      <c r="S48" s="85"/>
      <c r="T48" s="85"/>
      <c r="U48" s="85"/>
      <c r="V48" s="85"/>
      <c r="W48" s="85"/>
    </row>
    <row r="49" spans="1:23" ht="21" customHeight="1">
      <c r="A49" s="84"/>
      <c r="B49" s="86"/>
      <c r="C49" s="87"/>
      <c r="D49" s="85"/>
      <c r="E49" s="86"/>
      <c r="F49" s="88"/>
      <c r="G49" s="86"/>
      <c r="H49" s="86"/>
      <c r="I49" s="85"/>
      <c r="J49" s="85"/>
      <c r="K49" s="85"/>
      <c r="L49" s="85"/>
      <c r="M49" s="85"/>
      <c r="N49" s="86"/>
      <c r="O49" s="84"/>
      <c r="P49" s="85"/>
      <c r="Q49" s="85"/>
      <c r="R49" s="85"/>
      <c r="S49" s="85"/>
      <c r="T49" s="85"/>
      <c r="U49" s="85"/>
      <c r="V49" s="85"/>
      <c r="W49" s="85"/>
    </row>
    <row r="50" spans="1:23" ht="21" customHeight="1">
      <c r="A50" s="84"/>
      <c r="B50" s="86"/>
      <c r="C50" s="87"/>
      <c r="D50" s="85"/>
      <c r="E50" s="86"/>
      <c r="F50" s="88"/>
      <c r="G50" s="86"/>
      <c r="H50" s="86"/>
      <c r="I50" s="85"/>
      <c r="J50" s="85"/>
      <c r="K50" s="85"/>
      <c r="L50" s="85"/>
      <c r="M50" s="85"/>
      <c r="N50" s="86"/>
      <c r="O50" s="84"/>
      <c r="P50" s="85"/>
      <c r="Q50" s="85"/>
      <c r="R50" s="85"/>
      <c r="S50" s="85"/>
      <c r="T50" s="85"/>
      <c r="U50" s="85"/>
      <c r="V50" s="85"/>
      <c r="W50" s="85"/>
    </row>
    <row r="51" spans="1:23" ht="21" customHeight="1">
      <c r="A51" s="84"/>
      <c r="B51" s="86"/>
      <c r="C51" s="89"/>
      <c r="D51" s="85"/>
      <c r="E51" s="86"/>
      <c r="F51" s="88"/>
      <c r="G51" s="86"/>
      <c r="H51" s="86"/>
      <c r="I51" s="85"/>
      <c r="J51" s="85"/>
      <c r="K51" s="85"/>
      <c r="L51" s="85"/>
      <c r="M51" s="85"/>
      <c r="N51" s="86"/>
      <c r="O51" s="84"/>
      <c r="P51" s="85"/>
      <c r="Q51" s="85"/>
      <c r="R51" s="85"/>
      <c r="S51" s="85"/>
      <c r="T51" s="85"/>
      <c r="U51" s="85"/>
      <c r="V51" s="85"/>
      <c r="W51" s="85"/>
    </row>
    <row r="52" spans="1:23" ht="21" customHeight="1">
      <c r="A52" s="84"/>
      <c r="B52" s="86"/>
      <c r="C52" s="89"/>
      <c r="D52" s="85"/>
      <c r="E52" s="86"/>
      <c r="F52" s="88"/>
      <c r="G52" s="86"/>
      <c r="H52" s="86"/>
      <c r="I52" s="85"/>
      <c r="J52" s="85"/>
      <c r="K52" s="85"/>
      <c r="L52" s="85"/>
      <c r="M52" s="85"/>
      <c r="N52" s="86"/>
      <c r="O52" s="84"/>
      <c r="P52" s="85"/>
      <c r="Q52" s="85"/>
      <c r="R52" s="85"/>
      <c r="S52" s="85"/>
      <c r="T52" s="85"/>
      <c r="U52" s="85"/>
      <c r="V52" s="85"/>
      <c r="W52" s="85"/>
    </row>
    <row r="53" spans="1:23" ht="21" customHeight="1">
      <c r="A53" s="84"/>
      <c r="B53" s="86"/>
      <c r="C53" s="87"/>
      <c r="D53" s="85"/>
      <c r="E53" s="86"/>
      <c r="F53" s="88"/>
      <c r="G53" s="86"/>
      <c r="H53" s="86"/>
      <c r="I53" s="85"/>
      <c r="J53" s="85"/>
      <c r="K53" s="85"/>
      <c r="L53" s="85"/>
      <c r="M53" s="85"/>
      <c r="N53" s="86"/>
      <c r="O53" s="84"/>
      <c r="P53" s="85"/>
      <c r="Q53" s="85"/>
      <c r="R53" s="85"/>
      <c r="S53" s="85"/>
      <c r="T53" s="85"/>
      <c r="U53" s="85"/>
      <c r="V53" s="85"/>
      <c r="W53" s="85"/>
    </row>
    <row r="54" spans="1:23" ht="21" customHeight="1">
      <c r="A54" s="84"/>
      <c r="B54" s="86"/>
      <c r="C54" s="87"/>
      <c r="D54" s="85"/>
      <c r="E54" s="86"/>
      <c r="F54" s="88"/>
      <c r="G54" s="86"/>
      <c r="H54" s="86"/>
      <c r="I54" s="85"/>
      <c r="J54" s="85"/>
      <c r="K54" s="85"/>
      <c r="L54" s="85"/>
      <c r="M54" s="85"/>
      <c r="N54" s="86"/>
      <c r="O54" s="84"/>
      <c r="P54" s="85"/>
      <c r="Q54" s="85"/>
      <c r="R54" s="85"/>
      <c r="S54" s="85"/>
      <c r="T54" s="85"/>
      <c r="U54" s="85"/>
      <c r="V54" s="85"/>
      <c r="W54" s="85"/>
    </row>
    <row r="55" spans="1:23" ht="21" customHeight="1">
      <c r="A55" s="84"/>
      <c r="B55" s="86"/>
      <c r="C55" s="87"/>
      <c r="D55" s="85"/>
      <c r="E55" s="86"/>
      <c r="F55" s="88"/>
      <c r="G55" s="86"/>
      <c r="H55" s="86"/>
      <c r="I55" s="85"/>
      <c r="J55" s="85"/>
      <c r="K55" s="85"/>
      <c r="L55" s="85"/>
      <c r="M55" s="85"/>
      <c r="N55" s="86"/>
      <c r="O55" s="84"/>
      <c r="P55" s="85"/>
      <c r="Q55" s="85"/>
      <c r="R55" s="85"/>
      <c r="S55" s="85"/>
      <c r="T55" s="85"/>
      <c r="U55" s="85"/>
      <c r="V55" s="85"/>
      <c r="W55" s="85"/>
    </row>
    <row r="56" spans="1:23" ht="21" customHeight="1">
      <c r="A56" s="84"/>
      <c r="B56" s="86"/>
      <c r="C56" s="87"/>
      <c r="D56" s="85"/>
      <c r="E56" s="86"/>
      <c r="F56" s="88"/>
      <c r="G56" s="86"/>
      <c r="H56" s="86"/>
      <c r="I56" s="85"/>
      <c r="J56" s="85"/>
      <c r="K56" s="85"/>
      <c r="L56" s="85"/>
      <c r="M56" s="85"/>
      <c r="N56" s="86"/>
      <c r="O56" s="84"/>
      <c r="P56" s="85"/>
      <c r="Q56" s="85"/>
      <c r="R56" s="85"/>
      <c r="S56" s="85"/>
      <c r="T56" s="85"/>
      <c r="U56" s="85"/>
      <c r="V56" s="85"/>
      <c r="W56" s="85"/>
    </row>
    <row r="57" spans="1:23" ht="21" customHeight="1">
      <c r="A57" s="84"/>
      <c r="B57" s="86"/>
      <c r="C57" s="87"/>
      <c r="D57" s="85"/>
      <c r="E57" s="86"/>
      <c r="F57" s="88"/>
      <c r="G57" s="86"/>
      <c r="H57" s="86"/>
      <c r="I57" s="85"/>
      <c r="J57" s="85"/>
      <c r="K57" s="85"/>
      <c r="L57" s="85"/>
      <c r="M57" s="85"/>
      <c r="N57" s="86"/>
      <c r="O57" s="84"/>
      <c r="P57" s="85"/>
      <c r="Q57" s="85"/>
      <c r="R57" s="85"/>
      <c r="S57" s="85"/>
      <c r="T57" s="85"/>
      <c r="U57" s="85"/>
      <c r="V57" s="85"/>
      <c r="W57" s="85"/>
    </row>
    <row r="58" spans="1:23" ht="21" customHeight="1">
      <c r="A58" s="84"/>
      <c r="B58" s="86"/>
      <c r="C58" s="87"/>
      <c r="D58" s="85"/>
      <c r="E58" s="86"/>
      <c r="F58" s="88"/>
      <c r="G58" s="86"/>
      <c r="H58" s="86"/>
      <c r="I58" s="85"/>
      <c r="J58" s="85"/>
      <c r="K58" s="85"/>
      <c r="L58" s="85"/>
      <c r="M58" s="85"/>
      <c r="N58" s="86"/>
      <c r="O58" s="84"/>
      <c r="P58" s="85"/>
      <c r="Q58" s="85"/>
      <c r="R58" s="85"/>
      <c r="S58" s="85"/>
      <c r="T58" s="85"/>
      <c r="U58" s="85"/>
      <c r="V58" s="85"/>
      <c r="W58" s="85"/>
    </row>
    <row r="59" spans="1:23" ht="21" customHeight="1">
      <c r="A59" s="84"/>
      <c r="B59" s="86"/>
      <c r="C59" s="87"/>
      <c r="D59" s="85"/>
      <c r="E59" s="86"/>
      <c r="F59" s="88"/>
      <c r="G59" s="86"/>
      <c r="H59" s="86"/>
      <c r="I59" s="85"/>
      <c r="J59" s="85"/>
      <c r="K59" s="85"/>
      <c r="L59" s="85"/>
      <c r="M59" s="85"/>
      <c r="N59" s="86"/>
      <c r="O59" s="84"/>
      <c r="P59" s="85"/>
      <c r="Q59" s="85"/>
      <c r="R59" s="85"/>
      <c r="S59" s="85"/>
      <c r="T59" s="85"/>
      <c r="U59" s="85"/>
      <c r="V59" s="85"/>
      <c r="W59" s="85"/>
    </row>
    <row r="60" spans="1:23" ht="21" customHeight="1">
      <c r="A60" s="84"/>
      <c r="B60" s="86"/>
      <c r="C60" s="87"/>
      <c r="D60" s="85"/>
      <c r="E60" s="86"/>
      <c r="F60" s="88"/>
      <c r="G60" s="86"/>
      <c r="H60" s="86"/>
      <c r="I60" s="85"/>
      <c r="J60" s="85"/>
      <c r="K60" s="85"/>
      <c r="L60" s="85"/>
      <c r="M60" s="85"/>
      <c r="N60" s="86"/>
      <c r="O60" s="84"/>
      <c r="P60" s="85"/>
      <c r="Q60" s="85"/>
      <c r="R60" s="85"/>
      <c r="S60" s="85"/>
      <c r="T60" s="85"/>
      <c r="U60" s="85"/>
      <c r="V60" s="85"/>
      <c r="W60" s="85"/>
    </row>
    <row r="61" spans="1:23" ht="21" customHeight="1">
      <c r="A61" s="84"/>
      <c r="B61" s="86"/>
      <c r="C61" s="87"/>
      <c r="D61" s="85"/>
      <c r="E61" s="86"/>
      <c r="F61" s="88"/>
      <c r="G61" s="86"/>
      <c r="H61" s="86"/>
      <c r="I61" s="85"/>
      <c r="J61" s="85"/>
      <c r="K61" s="85"/>
      <c r="L61" s="85"/>
      <c r="M61" s="85"/>
      <c r="N61" s="86"/>
      <c r="O61" s="84"/>
      <c r="P61" s="85"/>
      <c r="Q61" s="85"/>
      <c r="R61" s="85"/>
      <c r="S61" s="85"/>
      <c r="T61" s="85"/>
      <c r="U61" s="85"/>
      <c r="V61" s="85"/>
      <c r="W61" s="85"/>
    </row>
    <row r="62" spans="1:23" ht="21" customHeight="1">
      <c r="A62" s="84"/>
      <c r="B62" s="86"/>
      <c r="C62" s="87"/>
      <c r="D62" s="85"/>
      <c r="E62" s="86"/>
      <c r="F62" s="88"/>
      <c r="G62" s="86"/>
      <c r="H62" s="86"/>
      <c r="I62" s="85"/>
      <c r="J62" s="85"/>
      <c r="K62" s="85"/>
      <c r="L62" s="85"/>
      <c r="M62" s="85"/>
      <c r="N62" s="86"/>
      <c r="O62" s="84"/>
      <c r="P62" s="85"/>
      <c r="Q62" s="85"/>
      <c r="R62" s="85"/>
      <c r="S62" s="85"/>
      <c r="T62" s="85"/>
      <c r="U62" s="85"/>
      <c r="V62" s="85"/>
      <c r="W62" s="85"/>
    </row>
    <row r="63" spans="1:23" ht="21" customHeight="1">
      <c r="A63" s="84"/>
      <c r="B63" s="86"/>
      <c r="C63" s="87"/>
      <c r="D63" s="85"/>
      <c r="E63" s="86"/>
      <c r="F63" s="88"/>
      <c r="G63" s="86"/>
      <c r="H63" s="86"/>
      <c r="I63" s="85"/>
      <c r="J63" s="85"/>
      <c r="K63" s="85"/>
      <c r="L63" s="85"/>
      <c r="M63" s="85"/>
      <c r="N63" s="86"/>
      <c r="O63" s="84"/>
      <c r="P63" s="85"/>
      <c r="Q63" s="85"/>
      <c r="R63" s="85"/>
      <c r="S63" s="85"/>
      <c r="T63" s="85"/>
      <c r="U63" s="85"/>
      <c r="V63" s="85"/>
      <c r="W63" s="85"/>
    </row>
    <row r="64" spans="1:23" ht="21" customHeight="1">
      <c r="A64" s="84"/>
      <c r="B64" s="86"/>
      <c r="C64" s="87"/>
      <c r="D64" s="85"/>
      <c r="E64" s="86"/>
      <c r="F64" s="88"/>
      <c r="G64" s="86"/>
      <c r="H64" s="86"/>
      <c r="I64" s="85"/>
      <c r="J64" s="85"/>
      <c r="K64" s="85"/>
      <c r="L64" s="85"/>
      <c r="M64" s="85"/>
      <c r="N64" s="86"/>
      <c r="O64" s="84"/>
      <c r="P64" s="85"/>
      <c r="Q64" s="85"/>
      <c r="R64" s="85"/>
      <c r="S64" s="85"/>
      <c r="T64" s="85"/>
      <c r="U64" s="85"/>
      <c r="V64" s="85"/>
      <c r="W64" s="85"/>
    </row>
    <row r="65" spans="1:23" ht="21" customHeight="1">
      <c r="A65" s="84"/>
      <c r="B65" s="86"/>
      <c r="C65" s="87"/>
      <c r="D65" s="85"/>
      <c r="E65" s="86"/>
      <c r="F65" s="88"/>
      <c r="G65" s="86"/>
      <c r="H65" s="86"/>
      <c r="I65" s="85"/>
      <c r="J65" s="85"/>
      <c r="K65" s="85"/>
      <c r="L65" s="85"/>
      <c r="M65" s="85"/>
      <c r="N65" s="86"/>
      <c r="O65" s="84"/>
      <c r="P65" s="85"/>
      <c r="Q65" s="85"/>
      <c r="R65" s="85"/>
      <c r="S65" s="85"/>
      <c r="T65" s="85"/>
      <c r="U65" s="85"/>
      <c r="V65" s="85"/>
      <c r="W65" s="85"/>
    </row>
    <row r="66" spans="1:23" ht="21" customHeight="1">
      <c r="A66" s="84"/>
      <c r="B66" s="86"/>
      <c r="C66" s="87"/>
      <c r="D66" s="85"/>
      <c r="E66" s="86"/>
      <c r="F66" s="88"/>
      <c r="G66" s="86"/>
      <c r="H66" s="86"/>
      <c r="I66" s="85"/>
      <c r="J66" s="85"/>
      <c r="K66" s="85"/>
      <c r="L66" s="85"/>
      <c r="M66" s="85"/>
      <c r="N66" s="86"/>
      <c r="O66" s="84"/>
      <c r="P66" s="85"/>
      <c r="Q66" s="85"/>
      <c r="R66" s="85"/>
      <c r="S66" s="85"/>
      <c r="T66" s="85"/>
      <c r="U66" s="85"/>
      <c r="V66" s="85"/>
      <c r="W66" s="85"/>
    </row>
    <row r="67" spans="1:23" ht="21" customHeight="1">
      <c r="A67" s="84"/>
      <c r="B67" s="86"/>
      <c r="C67" s="87"/>
      <c r="D67" s="85"/>
      <c r="E67" s="86"/>
      <c r="F67" s="88"/>
      <c r="G67" s="86"/>
      <c r="H67" s="86"/>
      <c r="I67" s="85"/>
      <c r="J67" s="85"/>
      <c r="K67" s="85"/>
      <c r="L67" s="85"/>
      <c r="M67" s="85"/>
      <c r="N67" s="86"/>
      <c r="O67" s="84"/>
      <c r="P67" s="85"/>
      <c r="Q67" s="85"/>
      <c r="R67" s="85"/>
      <c r="S67" s="85"/>
      <c r="T67" s="85"/>
      <c r="U67" s="85"/>
      <c r="V67" s="85"/>
      <c r="W67" s="85"/>
    </row>
    <row r="68" spans="1:23" ht="21" customHeight="1">
      <c r="A68" s="84"/>
      <c r="B68" s="86"/>
      <c r="C68" s="87"/>
      <c r="D68" s="85"/>
      <c r="E68" s="86"/>
      <c r="F68" s="88"/>
      <c r="G68" s="86"/>
      <c r="H68" s="86"/>
      <c r="I68" s="85"/>
      <c r="J68" s="85"/>
      <c r="K68" s="85"/>
      <c r="L68" s="85"/>
      <c r="M68" s="85"/>
      <c r="N68" s="86"/>
      <c r="O68" s="84"/>
      <c r="P68" s="85"/>
      <c r="Q68" s="85"/>
      <c r="R68" s="85"/>
      <c r="S68" s="85"/>
      <c r="T68" s="85"/>
      <c r="U68" s="85"/>
      <c r="V68" s="85"/>
      <c r="W68" s="85"/>
    </row>
    <row r="69" spans="1:23" ht="21" customHeight="1">
      <c r="A69" s="84"/>
      <c r="B69" s="86"/>
      <c r="C69" s="87"/>
      <c r="D69" s="85"/>
      <c r="E69" s="86"/>
      <c r="F69" s="88"/>
      <c r="G69" s="86"/>
      <c r="H69" s="86"/>
      <c r="I69" s="85"/>
      <c r="J69" s="85"/>
      <c r="K69" s="85"/>
      <c r="L69" s="85"/>
      <c r="M69" s="85"/>
      <c r="N69" s="86"/>
      <c r="O69" s="84"/>
      <c r="P69" s="85"/>
      <c r="Q69" s="85"/>
      <c r="R69" s="85"/>
      <c r="S69" s="85"/>
      <c r="T69" s="85"/>
      <c r="U69" s="85"/>
      <c r="V69" s="85"/>
      <c r="W69" s="85"/>
    </row>
    <row r="70" spans="1:23" ht="21" customHeight="1">
      <c r="A70" s="84"/>
      <c r="B70" s="86"/>
      <c r="C70" s="87"/>
      <c r="D70" s="85"/>
      <c r="E70" s="86"/>
      <c r="F70" s="88"/>
      <c r="G70" s="86"/>
      <c r="H70" s="86"/>
      <c r="I70" s="85"/>
      <c r="J70" s="85"/>
      <c r="K70" s="85"/>
      <c r="L70" s="85"/>
      <c r="M70" s="85"/>
      <c r="N70" s="86"/>
      <c r="O70" s="84"/>
      <c r="P70" s="85"/>
      <c r="Q70" s="85"/>
      <c r="R70" s="85"/>
      <c r="S70" s="85"/>
      <c r="T70" s="85"/>
      <c r="U70" s="85"/>
      <c r="V70" s="85"/>
      <c r="W70" s="85"/>
    </row>
    <row r="71" spans="1:23" ht="21" customHeight="1">
      <c r="A71" s="84"/>
      <c r="B71" s="86"/>
      <c r="C71" s="87"/>
      <c r="D71" s="85"/>
      <c r="E71" s="86"/>
      <c r="F71" s="88"/>
      <c r="G71" s="86"/>
      <c r="H71" s="86"/>
      <c r="I71" s="85"/>
      <c r="J71" s="85"/>
      <c r="K71" s="85"/>
      <c r="L71" s="85"/>
      <c r="M71" s="85"/>
      <c r="N71" s="86"/>
      <c r="O71" s="84"/>
      <c r="P71" s="85"/>
      <c r="Q71" s="85"/>
      <c r="R71" s="85"/>
      <c r="S71" s="85"/>
      <c r="T71" s="85"/>
      <c r="U71" s="85"/>
      <c r="V71" s="85"/>
      <c r="W71" s="85"/>
    </row>
    <row r="72" spans="1:23" ht="21" customHeight="1">
      <c r="A72" s="84"/>
      <c r="B72" s="86"/>
      <c r="C72" s="87"/>
      <c r="D72" s="85"/>
      <c r="E72" s="86"/>
      <c r="F72" s="88"/>
      <c r="G72" s="86"/>
      <c r="H72" s="86"/>
      <c r="I72" s="85"/>
      <c r="J72" s="85"/>
      <c r="K72" s="85"/>
      <c r="L72" s="85"/>
      <c r="M72" s="85"/>
      <c r="N72" s="86"/>
      <c r="O72" s="84"/>
      <c r="P72" s="85"/>
      <c r="Q72" s="85"/>
      <c r="R72" s="85"/>
      <c r="S72" s="85"/>
      <c r="T72" s="85"/>
      <c r="U72" s="85"/>
      <c r="V72" s="85"/>
      <c r="W72" s="85"/>
    </row>
    <row r="73" spans="1:23" ht="21" customHeight="1">
      <c r="A73" s="84"/>
      <c r="B73" s="86"/>
      <c r="C73" s="87"/>
      <c r="D73" s="85"/>
      <c r="E73" s="86"/>
      <c r="F73" s="88"/>
      <c r="G73" s="86"/>
      <c r="H73" s="86"/>
      <c r="I73" s="85"/>
      <c r="J73" s="85"/>
      <c r="K73" s="85"/>
      <c r="L73" s="85"/>
      <c r="M73" s="85"/>
      <c r="N73" s="86"/>
      <c r="O73" s="84"/>
      <c r="P73" s="85"/>
      <c r="Q73" s="85"/>
      <c r="R73" s="85"/>
      <c r="S73" s="85"/>
      <c r="T73" s="85"/>
      <c r="U73" s="85"/>
      <c r="V73" s="85"/>
      <c r="W73" s="85"/>
    </row>
    <row r="74" spans="1:23" ht="21" customHeight="1">
      <c r="A74" s="84"/>
      <c r="B74" s="86"/>
      <c r="C74" s="87"/>
      <c r="D74" s="85"/>
      <c r="E74" s="86"/>
      <c r="F74" s="88"/>
      <c r="G74" s="86"/>
      <c r="H74" s="86"/>
      <c r="I74" s="85"/>
      <c r="J74" s="85"/>
      <c r="K74" s="85"/>
      <c r="L74" s="85"/>
      <c r="M74" s="85"/>
      <c r="N74" s="86"/>
      <c r="O74" s="84"/>
      <c r="P74" s="85"/>
      <c r="Q74" s="85"/>
      <c r="R74" s="85"/>
      <c r="S74" s="85"/>
      <c r="T74" s="85"/>
      <c r="U74" s="85"/>
      <c r="V74" s="85"/>
      <c r="W74" s="85"/>
    </row>
    <row r="75" spans="1:23" ht="21" customHeight="1">
      <c r="A75" s="84"/>
      <c r="B75" s="86"/>
      <c r="C75" s="87"/>
      <c r="D75" s="85"/>
      <c r="E75" s="86"/>
      <c r="F75" s="88"/>
      <c r="G75" s="86"/>
      <c r="H75" s="86"/>
      <c r="I75" s="85"/>
      <c r="J75" s="85"/>
      <c r="K75" s="85"/>
      <c r="L75" s="85"/>
      <c r="M75" s="85"/>
      <c r="N75" s="86"/>
      <c r="O75" s="84"/>
      <c r="P75" s="85"/>
      <c r="Q75" s="85"/>
      <c r="R75" s="85"/>
      <c r="S75" s="85"/>
      <c r="T75" s="85"/>
      <c r="U75" s="85"/>
      <c r="V75" s="85"/>
      <c r="W75" s="85"/>
    </row>
    <row r="76" spans="1:23" ht="21" customHeight="1">
      <c r="A76" s="84"/>
      <c r="B76" s="86"/>
      <c r="C76" s="87"/>
      <c r="D76" s="85"/>
      <c r="E76" s="86"/>
      <c r="F76" s="88"/>
      <c r="G76" s="86"/>
      <c r="H76" s="86"/>
      <c r="I76" s="85"/>
      <c r="J76" s="85"/>
      <c r="K76" s="85"/>
      <c r="L76" s="85"/>
      <c r="M76" s="85"/>
      <c r="N76" s="86"/>
      <c r="O76" s="84"/>
      <c r="P76" s="85"/>
      <c r="Q76" s="85"/>
      <c r="R76" s="85"/>
      <c r="S76" s="85"/>
      <c r="T76" s="85"/>
      <c r="U76" s="85"/>
      <c r="V76" s="85"/>
      <c r="W76" s="85"/>
    </row>
    <row r="77" spans="1:23" ht="21" customHeight="1">
      <c r="A77" s="84"/>
      <c r="B77" s="86"/>
      <c r="C77" s="87"/>
      <c r="D77" s="85"/>
      <c r="E77" s="86"/>
      <c r="F77" s="88"/>
      <c r="G77" s="86"/>
      <c r="H77" s="86"/>
      <c r="I77" s="85"/>
      <c r="J77" s="85"/>
      <c r="K77" s="85"/>
      <c r="L77" s="85"/>
      <c r="M77" s="85"/>
      <c r="N77" s="86"/>
      <c r="O77" s="84"/>
      <c r="P77" s="85"/>
      <c r="Q77" s="85"/>
      <c r="R77" s="85"/>
      <c r="S77" s="85"/>
      <c r="T77" s="85"/>
      <c r="U77" s="85"/>
      <c r="V77" s="85"/>
      <c r="W77" s="85"/>
    </row>
    <row r="78" spans="1:23" ht="21" customHeight="1">
      <c r="A78" s="84"/>
      <c r="B78" s="86"/>
      <c r="C78" s="87"/>
      <c r="D78" s="85"/>
      <c r="E78" s="86"/>
      <c r="F78" s="88"/>
      <c r="G78" s="86"/>
      <c r="H78" s="86"/>
      <c r="I78" s="85"/>
      <c r="J78" s="85"/>
      <c r="K78" s="85"/>
      <c r="L78" s="85"/>
      <c r="M78" s="85"/>
      <c r="N78" s="86"/>
      <c r="O78" s="84"/>
      <c r="P78" s="85"/>
      <c r="Q78" s="85"/>
      <c r="R78" s="85"/>
      <c r="S78" s="85"/>
      <c r="T78" s="85"/>
      <c r="U78" s="85"/>
      <c r="V78" s="85"/>
      <c r="W78" s="85"/>
    </row>
    <row r="79" spans="1:23" ht="21" customHeight="1">
      <c r="A79" s="84"/>
      <c r="B79" s="86"/>
      <c r="C79" s="87"/>
      <c r="D79" s="85"/>
      <c r="E79" s="86"/>
      <c r="F79" s="88"/>
      <c r="G79" s="86"/>
      <c r="H79" s="86"/>
      <c r="I79" s="85"/>
      <c r="J79" s="85"/>
      <c r="K79" s="85"/>
      <c r="L79" s="85"/>
      <c r="M79" s="85"/>
      <c r="N79" s="86"/>
      <c r="O79" s="84"/>
      <c r="P79" s="85"/>
      <c r="Q79" s="85"/>
      <c r="R79" s="85"/>
      <c r="S79" s="85"/>
      <c r="T79" s="85"/>
      <c r="U79" s="85"/>
      <c r="V79" s="85"/>
      <c r="W79" s="85"/>
    </row>
    <row r="80" spans="1:23" ht="21" customHeight="1">
      <c r="A80" s="84"/>
      <c r="B80" s="86"/>
      <c r="C80" s="87"/>
      <c r="D80" s="85"/>
      <c r="E80" s="86"/>
      <c r="F80" s="88"/>
      <c r="G80" s="86"/>
      <c r="H80" s="86"/>
      <c r="I80" s="85"/>
      <c r="J80" s="85"/>
      <c r="K80" s="85"/>
      <c r="L80" s="85"/>
      <c r="M80" s="85"/>
      <c r="N80" s="86"/>
      <c r="O80" s="84"/>
      <c r="P80" s="85"/>
      <c r="Q80" s="85"/>
      <c r="R80" s="85"/>
      <c r="S80" s="85"/>
      <c r="T80" s="85"/>
      <c r="U80" s="85"/>
      <c r="V80" s="85"/>
      <c r="W80" s="85"/>
    </row>
    <row r="81" spans="1:23" ht="21" customHeight="1">
      <c r="A81" s="84"/>
      <c r="B81" s="86"/>
      <c r="C81" s="87"/>
      <c r="D81" s="85"/>
      <c r="E81" s="86"/>
      <c r="F81" s="88"/>
      <c r="G81" s="86"/>
      <c r="H81" s="86"/>
      <c r="I81" s="85"/>
      <c r="J81" s="85"/>
      <c r="K81" s="85"/>
      <c r="L81" s="85"/>
      <c r="M81" s="85"/>
      <c r="N81" s="86"/>
      <c r="O81" s="84"/>
      <c r="P81" s="85"/>
      <c r="Q81" s="85"/>
      <c r="R81" s="85"/>
      <c r="S81" s="85"/>
      <c r="T81" s="85"/>
      <c r="U81" s="85"/>
      <c r="V81" s="85"/>
      <c r="W81" s="85"/>
    </row>
    <row r="82" spans="1:23" ht="21" customHeight="1">
      <c r="A82" s="84"/>
      <c r="B82" s="86"/>
      <c r="C82" s="87"/>
      <c r="D82" s="85"/>
      <c r="E82" s="86"/>
      <c r="F82" s="88"/>
      <c r="G82" s="86"/>
      <c r="H82" s="86"/>
      <c r="I82" s="85"/>
      <c r="J82" s="85"/>
      <c r="K82" s="85"/>
      <c r="L82" s="85"/>
      <c r="M82" s="85"/>
      <c r="N82" s="86"/>
      <c r="O82" s="84"/>
      <c r="P82" s="85"/>
      <c r="Q82" s="85"/>
      <c r="R82" s="85"/>
      <c r="S82" s="85"/>
      <c r="T82" s="85"/>
      <c r="U82" s="85"/>
      <c r="V82" s="85"/>
      <c r="W82" s="85"/>
    </row>
    <row r="83" spans="1:23" ht="21" customHeight="1">
      <c r="A83" s="84"/>
      <c r="B83" s="86"/>
      <c r="C83" s="87"/>
      <c r="D83" s="85"/>
      <c r="E83" s="86"/>
      <c r="F83" s="88"/>
      <c r="G83" s="86"/>
      <c r="H83" s="86"/>
      <c r="I83" s="85"/>
      <c r="J83" s="85"/>
      <c r="K83" s="85"/>
      <c r="L83" s="85"/>
      <c r="M83" s="85"/>
      <c r="N83" s="86"/>
      <c r="O83" s="84"/>
      <c r="P83" s="85"/>
      <c r="Q83" s="85"/>
      <c r="R83" s="85"/>
      <c r="S83" s="85"/>
      <c r="T83" s="85"/>
      <c r="U83" s="85"/>
      <c r="V83" s="85"/>
      <c r="W83" s="85"/>
    </row>
    <row r="84" spans="1:23" ht="21" customHeight="1">
      <c r="A84" s="84"/>
      <c r="B84" s="86"/>
      <c r="C84" s="87"/>
      <c r="D84" s="85"/>
      <c r="E84" s="86"/>
      <c r="F84" s="88"/>
      <c r="G84" s="86"/>
      <c r="H84" s="86"/>
      <c r="I84" s="85"/>
      <c r="J84" s="85"/>
      <c r="K84" s="85"/>
      <c r="L84" s="85"/>
      <c r="M84" s="85"/>
      <c r="N84" s="86"/>
      <c r="O84" s="84"/>
      <c r="P84" s="85"/>
      <c r="Q84" s="85"/>
      <c r="R84" s="85"/>
      <c r="S84" s="85"/>
      <c r="T84" s="85"/>
      <c r="U84" s="85"/>
      <c r="V84" s="85"/>
      <c r="W84" s="85"/>
    </row>
    <row r="85" spans="1:23" ht="21" customHeight="1">
      <c r="A85" s="84"/>
      <c r="B85" s="86"/>
      <c r="C85" s="87"/>
      <c r="D85" s="85"/>
      <c r="E85" s="86"/>
      <c r="F85" s="88"/>
      <c r="G85" s="86"/>
      <c r="H85" s="86"/>
      <c r="I85" s="85"/>
      <c r="J85" s="85"/>
      <c r="K85" s="85"/>
      <c r="L85" s="85"/>
      <c r="M85" s="85"/>
      <c r="N85" s="86"/>
      <c r="O85" s="84"/>
      <c r="P85" s="85"/>
      <c r="Q85" s="85"/>
      <c r="R85" s="85"/>
      <c r="S85" s="85"/>
      <c r="T85" s="85"/>
      <c r="U85" s="85"/>
      <c r="V85" s="85"/>
      <c r="W85" s="85"/>
    </row>
    <row r="86" spans="1:23" ht="21" customHeight="1">
      <c r="A86" s="84"/>
      <c r="B86" s="86"/>
      <c r="C86" s="87"/>
      <c r="D86" s="85"/>
      <c r="E86" s="86"/>
      <c r="F86" s="88"/>
      <c r="G86" s="86"/>
      <c r="H86" s="86"/>
      <c r="I86" s="85"/>
      <c r="J86" s="85"/>
      <c r="K86" s="85"/>
      <c r="L86" s="85"/>
      <c r="M86" s="85"/>
      <c r="N86" s="86"/>
      <c r="O86" s="84"/>
      <c r="P86" s="85"/>
      <c r="Q86" s="85"/>
      <c r="R86" s="85"/>
      <c r="S86" s="85"/>
      <c r="T86" s="85"/>
      <c r="U86" s="85"/>
      <c r="V86" s="85"/>
      <c r="W86" s="85"/>
    </row>
    <row r="87" spans="1:23" ht="21" customHeight="1">
      <c r="A87" s="84"/>
      <c r="B87" s="86"/>
      <c r="C87" s="87"/>
      <c r="D87" s="85"/>
      <c r="E87" s="86"/>
      <c r="F87" s="88"/>
      <c r="G87" s="86"/>
      <c r="H87" s="86"/>
      <c r="I87" s="85"/>
      <c r="J87" s="85"/>
      <c r="K87" s="85"/>
      <c r="L87" s="85"/>
      <c r="M87" s="85"/>
      <c r="N87" s="86"/>
      <c r="O87" s="84"/>
      <c r="P87" s="85"/>
      <c r="Q87" s="85"/>
      <c r="R87" s="85"/>
      <c r="S87" s="85"/>
      <c r="T87" s="85"/>
      <c r="U87" s="85"/>
      <c r="V87" s="85"/>
      <c r="W87" s="85"/>
    </row>
    <row r="88" spans="1:23" ht="21" customHeight="1">
      <c r="A88" s="84"/>
      <c r="B88" s="86"/>
      <c r="C88" s="87"/>
      <c r="D88" s="85"/>
      <c r="E88" s="86"/>
      <c r="F88" s="88"/>
      <c r="G88" s="86"/>
      <c r="H88" s="86"/>
      <c r="I88" s="85"/>
      <c r="J88" s="85"/>
      <c r="K88" s="85"/>
      <c r="L88" s="85"/>
      <c r="M88" s="85"/>
      <c r="N88" s="86"/>
      <c r="O88" s="84"/>
      <c r="P88" s="85"/>
      <c r="Q88" s="85"/>
      <c r="R88" s="85"/>
      <c r="S88" s="85"/>
      <c r="T88" s="85"/>
      <c r="U88" s="85"/>
      <c r="V88" s="85"/>
      <c r="W88" s="85"/>
    </row>
    <row r="89" spans="1:23" ht="21" customHeight="1">
      <c r="A89" s="84"/>
      <c r="B89" s="86"/>
      <c r="C89" s="87"/>
      <c r="D89" s="85"/>
      <c r="E89" s="86"/>
      <c r="F89" s="88"/>
      <c r="G89" s="86"/>
      <c r="H89" s="86"/>
      <c r="I89" s="85"/>
      <c r="J89" s="85"/>
      <c r="K89" s="85"/>
      <c r="L89" s="85"/>
      <c r="M89" s="85"/>
      <c r="N89" s="86"/>
      <c r="O89" s="84"/>
      <c r="P89" s="85"/>
      <c r="Q89" s="85"/>
      <c r="R89" s="85"/>
      <c r="S89" s="85"/>
      <c r="T89" s="85"/>
      <c r="U89" s="85"/>
      <c r="V89" s="85"/>
      <c r="W89" s="85"/>
    </row>
    <row r="90" spans="1:23" ht="21" customHeight="1">
      <c r="A90" s="84"/>
      <c r="B90" s="86"/>
      <c r="C90" s="87"/>
      <c r="D90" s="85"/>
      <c r="E90" s="86"/>
      <c r="F90" s="88"/>
      <c r="G90" s="86"/>
      <c r="H90" s="86"/>
      <c r="I90" s="85"/>
      <c r="J90" s="85"/>
      <c r="K90" s="85"/>
      <c r="L90" s="85"/>
      <c r="M90" s="85"/>
      <c r="N90" s="86"/>
      <c r="O90" s="84"/>
      <c r="P90" s="85"/>
      <c r="Q90" s="85"/>
      <c r="R90" s="85"/>
      <c r="S90" s="85"/>
      <c r="T90" s="85"/>
      <c r="U90" s="85"/>
      <c r="V90" s="85"/>
      <c r="W90" s="85"/>
    </row>
    <row r="91" spans="1:23" ht="21" customHeight="1">
      <c r="A91" s="84"/>
      <c r="B91" s="86"/>
      <c r="C91" s="87"/>
      <c r="D91" s="85"/>
      <c r="E91" s="86"/>
      <c r="F91" s="88"/>
      <c r="G91" s="86"/>
      <c r="H91" s="86"/>
      <c r="I91" s="85"/>
      <c r="J91" s="85"/>
      <c r="K91" s="85"/>
      <c r="L91" s="85"/>
      <c r="M91" s="85"/>
      <c r="N91" s="86"/>
      <c r="O91" s="84"/>
      <c r="P91" s="85"/>
      <c r="Q91" s="85"/>
      <c r="R91" s="85"/>
      <c r="S91" s="85"/>
      <c r="T91" s="85"/>
      <c r="U91" s="85"/>
      <c r="V91" s="85"/>
      <c r="W91" s="85"/>
    </row>
    <row r="92" spans="1:23" ht="21" customHeight="1">
      <c r="A92" s="84"/>
      <c r="B92" s="86"/>
      <c r="C92" s="87"/>
      <c r="D92" s="85"/>
      <c r="E92" s="86"/>
      <c r="F92" s="88"/>
      <c r="G92" s="86"/>
      <c r="H92" s="86"/>
      <c r="I92" s="85"/>
      <c r="J92" s="85"/>
      <c r="K92" s="85"/>
      <c r="L92" s="85"/>
      <c r="M92" s="85"/>
      <c r="N92" s="86"/>
      <c r="O92" s="84"/>
      <c r="P92" s="85"/>
      <c r="Q92" s="85"/>
      <c r="R92" s="85"/>
      <c r="S92" s="85"/>
      <c r="T92" s="85"/>
      <c r="U92" s="85"/>
      <c r="V92" s="85"/>
      <c r="W92" s="85"/>
    </row>
    <row r="93" spans="1:23" ht="21" customHeight="1">
      <c r="A93" s="84"/>
      <c r="B93" s="86"/>
      <c r="C93" s="87"/>
      <c r="D93" s="85"/>
      <c r="E93" s="86"/>
      <c r="F93" s="88"/>
      <c r="G93" s="86"/>
      <c r="H93" s="86"/>
      <c r="I93" s="85"/>
      <c r="J93" s="85"/>
      <c r="K93" s="85"/>
      <c r="L93" s="85"/>
      <c r="M93" s="85"/>
      <c r="N93" s="86"/>
      <c r="O93" s="84"/>
      <c r="P93" s="85"/>
      <c r="Q93" s="85"/>
      <c r="R93" s="85"/>
      <c r="S93" s="85"/>
      <c r="T93" s="85"/>
      <c r="U93" s="85"/>
      <c r="V93" s="85"/>
      <c r="W93" s="85"/>
    </row>
    <row r="94" spans="1:23" ht="21" customHeight="1">
      <c r="A94" s="84"/>
      <c r="B94" s="86"/>
      <c r="C94" s="87"/>
      <c r="D94" s="85"/>
      <c r="E94" s="86"/>
      <c r="F94" s="88"/>
      <c r="G94" s="86"/>
      <c r="H94" s="86"/>
      <c r="I94" s="85"/>
      <c r="J94" s="85"/>
      <c r="K94" s="85"/>
      <c r="L94" s="85"/>
      <c r="M94" s="85"/>
      <c r="N94" s="86"/>
      <c r="O94" s="84"/>
      <c r="P94" s="85"/>
      <c r="Q94" s="85"/>
      <c r="R94" s="85"/>
      <c r="S94" s="85"/>
      <c r="T94" s="85"/>
      <c r="U94" s="85"/>
      <c r="V94" s="85"/>
      <c r="W94" s="85"/>
    </row>
    <row r="95" spans="1:23" ht="21" customHeight="1">
      <c r="A95" s="84"/>
      <c r="B95" s="86"/>
      <c r="C95" s="87"/>
      <c r="D95" s="85"/>
      <c r="E95" s="86"/>
      <c r="F95" s="88"/>
      <c r="G95" s="86"/>
      <c r="H95" s="86"/>
      <c r="I95" s="85"/>
      <c r="J95" s="85"/>
      <c r="K95" s="85"/>
      <c r="L95" s="85"/>
      <c r="M95" s="85"/>
      <c r="N95" s="86"/>
      <c r="O95" s="84"/>
      <c r="P95" s="85"/>
      <c r="Q95" s="85"/>
      <c r="R95" s="85"/>
      <c r="S95" s="85"/>
      <c r="T95" s="85"/>
      <c r="U95" s="85"/>
      <c r="V95" s="85"/>
      <c r="W95" s="85"/>
    </row>
    <row r="96" spans="1:23" ht="21" customHeight="1">
      <c r="A96" s="84"/>
      <c r="B96" s="86"/>
      <c r="C96" s="87"/>
      <c r="D96" s="85"/>
      <c r="E96" s="86"/>
      <c r="F96" s="88"/>
      <c r="G96" s="86"/>
      <c r="H96" s="86"/>
      <c r="I96" s="85"/>
      <c r="J96" s="85"/>
      <c r="K96" s="85"/>
      <c r="L96" s="85"/>
      <c r="M96" s="85"/>
      <c r="N96" s="86"/>
      <c r="O96" s="84"/>
      <c r="P96" s="85"/>
      <c r="Q96" s="85"/>
      <c r="R96" s="85"/>
      <c r="S96" s="85"/>
      <c r="T96" s="85"/>
      <c r="U96" s="85"/>
      <c r="V96" s="85"/>
      <c r="W96" s="85"/>
    </row>
    <row r="97" spans="1:23" ht="21" customHeight="1">
      <c r="A97" s="84"/>
      <c r="B97" s="86"/>
      <c r="C97" s="87"/>
      <c r="D97" s="85"/>
      <c r="E97" s="86"/>
      <c r="F97" s="88"/>
      <c r="G97" s="86"/>
      <c r="H97" s="86"/>
      <c r="I97" s="85"/>
      <c r="J97" s="85"/>
      <c r="K97" s="85"/>
      <c r="L97" s="85"/>
      <c r="M97" s="85"/>
      <c r="N97" s="86"/>
      <c r="O97" s="84"/>
      <c r="P97" s="85"/>
      <c r="Q97" s="85"/>
      <c r="R97" s="85"/>
      <c r="S97" s="85"/>
      <c r="T97" s="85"/>
      <c r="U97" s="85"/>
      <c r="V97" s="85"/>
      <c r="W97" s="85"/>
    </row>
    <row r="98" spans="1:23" ht="21" customHeight="1">
      <c r="A98" s="84"/>
      <c r="B98" s="86"/>
      <c r="C98" s="87"/>
      <c r="D98" s="85"/>
      <c r="E98" s="86"/>
      <c r="F98" s="88"/>
      <c r="G98" s="86"/>
      <c r="H98" s="86"/>
      <c r="I98" s="85"/>
      <c r="J98" s="85"/>
      <c r="K98" s="85"/>
      <c r="L98" s="85"/>
      <c r="M98" s="85"/>
      <c r="N98" s="86"/>
      <c r="O98" s="84"/>
      <c r="P98" s="85"/>
      <c r="Q98" s="85"/>
      <c r="R98" s="85"/>
      <c r="S98" s="85"/>
      <c r="T98" s="85"/>
      <c r="U98" s="85"/>
      <c r="V98" s="85"/>
      <c r="W98" s="85"/>
    </row>
    <row r="99" spans="1:23" ht="21" customHeight="1">
      <c r="A99" s="84"/>
      <c r="B99" s="86"/>
      <c r="C99" s="87"/>
      <c r="D99" s="85"/>
      <c r="E99" s="86"/>
      <c r="F99" s="88"/>
      <c r="G99" s="86"/>
      <c r="H99" s="86"/>
      <c r="I99" s="85"/>
      <c r="J99" s="85"/>
      <c r="K99" s="85"/>
      <c r="L99" s="85"/>
      <c r="M99" s="85"/>
      <c r="N99" s="86"/>
      <c r="O99" s="84"/>
      <c r="P99" s="85"/>
      <c r="Q99" s="85"/>
      <c r="R99" s="85"/>
      <c r="S99" s="85"/>
      <c r="T99" s="85"/>
      <c r="U99" s="85"/>
      <c r="V99" s="85"/>
      <c r="W99" s="85"/>
    </row>
    <row r="100" spans="1:23" ht="21" customHeight="1">
      <c r="A100" s="84"/>
      <c r="B100" s="86"/>
      <c r="C100" s="87"/>
      <c r="D100" s="85"/>
      <c r="E100" s="86"/>
      <c r="F100" s="88"/>
      <c r="G100" s="86"/>
      <c r="H100" s="86"/>
      <c r="I100" s="85"/>
      <c r="J100" s="85"/>
      <c r="K100" s="85"/>
      <c r="L100" s="85"/>
      <c r="M100" s="85"/>
      <c r="N100" s="86"/>
      <c r="O100" s="84"/>
      <c r="P100" s="85"/>
      <c r="Q100" s="85"/>
      <c r="R100" s="85"/>
      <c r="S100" s="85"/>
      <c r="T100" s="85"/>
      <c r="U100" s="85"/>
      <c r="V100" s="85"/>
      <c r="W100" s="85"/>
    </row>
    <row r="101" spans="1:23" ht="21" customHeight="1">
      <c r="A101" s="84"/>
      <c r="B101" s="86"/>
      <c r="C101" s="87"/>
      <c r="D101" s="85"/>
      <c r="E101" s="86"/>
      <c r="F101" s="88"/>
      <c r="G101" s="86"/>
      <c r="H101" s="86"/>
      <c r="I101" s="85"/>
      <c r="J101" s="85"/>
      <c r="K101" s="85"/>
      <c r="L101" s="85"/>
      <c r="M101" s="85"/>
      <c r="N101" s="86"/>
      <c r="O101" s="84"/>
      <c r="P101" s="85"/>
      <c r="Q101" s="85"/>
      <c r="R101" s="85"/>
      <c r="S101" s="85"/>
      <c r="T101" s="85"/>
      <c r="U101" s="85"/>
      <c r="V101" s="85"/>
      <c r="W101" s="85"/>
    </row>
    <row r="102" spans="1:23" ht="21" customHeight="1">
      <c r="A102" s="84"/>
      <c r="B102" s="86"/>
      <c r="C102" s="87"/>
      <c r="D102" s="85"/>
      <c r="E102" s="86"/>
      <c r="F102" s="88"/>
      <c r="G102" s="86"/>
      <c r="H102" s="86"/>
      <c r="I102" s="85"/>
      <c r="J102" s="85"/>
      <c r="K102" s="85"/>
      <c r="L102" s="85"/>
      <c r="M102" s="85"/>
      <c r="N102" s="86"/>
      <c r="O102" s="84"/>
      <c r="P102" s="85"/>
      <c r="Q102" s="85"/>
      <c r="R102" s="85"/>
      <c r="S102" s="85"/>
      <c r="T102" s="85"/>
      <c r="U102" s="85"/>
      <c r="V102" s="85"/>
      <c r="W102" s="85"/>
    </row>
    <row r="103" spans="1:23" ht="21" customHeight="1">
      <c r="A103" s="84"/>
      <c r="B103" s="86"/>
      <c r="C103" s="87"/>
      <c r="D103" s="85"/>
      <c r="E103" s="86"/>
      <c r="F103" s="88"/>
      <c r="G103" s="86"/>
      <c r="H103" s="86"/>
      <c r="I103" s="85"/>
      <c r="J103" s="85"/>
      <c r="K103" s="85"/>
      <c r="L103" s="85"/>
      <c r="M103" s="85"/>
      <c r="N103" s="86"/>
      <c r="O103" s="84"/>
      <c r="P103" s="85"/>
      <c r="Q103" s="85"/>
      <c r="R103" s="85"/>
      <c r="S103" s="85"/>
      <c r="T103" s="85"/>
      <c r="U103" s="85"/>
      <c r="V103" s="85"/>
      <c r="W103" s="85"/>
    </row>
    <row r="104" spans="1:23" ht="21" customHeight="1">
      <c r="A104" s="84"/>
      <c r="B104" s="86"/>
      <c r="C104" s="87"/>
      <c r="D104" s="85"/>
      <c r="E104" s="86"/>
      <c r="F104" s="88"/>
      <c r="G104" s="86"/>
      <c r="H104" s="86"/>
      <c r="I104" s="85"/>
      <c r="J104" s="85"/>
      <c r="K104" s="85"/>
      <c r="L104" s="85"/>
      <c r="M104" s="85"/>
      <c r="N104" s="86"/>
      <c r="O104" s="84"/>
      <c r="P104" s="85"/>
      <c r="Q104" s="85"/>
      <c r="R104" s="85"/>
      <c r="S104" s="85"/>
      <c r="T104" s="85"/>
      <c r="U104" s="85"/>
      <c r="V104" s="85"/>
      <c r="W104" s="85"/>
    </row>
    <row r="105" spans="1:23" ht="21" customHeight="1">
      <c r="A105" s="84"/>
      <c r="B105" s="86"/>
      <c r="C105" s="87"/>
      <c r="D105" s="85"/>
      <c r="E105" s="86"/>
      <c r="F105" s="88"/>
      <c r="G105" s="86"/>
      <c r="H105" s="86"/>
      <c r="I105" s="85"/>
      <c r="J105" s="85"/>
      <c r="K105" s="85"/>
      <c r="L105" s="85"/>
      <c r="M105" s="85"/>
      <c r="N105" s="86"/>
      <c r="O105" s="84"/>
      <c r="P105" s="85"/>
      <c r="Q105" s="85"/>
      <c r="R105" s="85"/>
      <c r="S105" s="85"/>
      <c r="T105" s="85"/>
      <c r="U105" s="85"/>
      <c r="V105" s="85"/>
      <c r="W105" s="85"/>
    </row>
    <row r="106" spans="1:23" ht="21" customHeight="1">
      <c r="A106" s="84"/>
      <c r="B106" s="86"/>
      <c r="C106" s="87"/>
      <c r="D106" s="85"/>
      <c r="E106" s="86"/>
      <c r="F106" s="88"/>
      <c r="G106" s="86"/>
      <c r="H106" s="86"/>
      <c r="I106" s="85"/>
      <c r="J106" s="85"/>
      <c r="K106" s="85"/>
      <c r="L106" s="85"/>
      <c r="M106" s="85"/>
      <c r="N106" s="86"/>
      <c r="O106" s="84"/>
      <c r="P106" s="85"/>
      <c r="Q106" s="85"/>
      <c r="R106" s="85"/>
      <c r="S106" s="85"/>
      <c r="T106" s="85"/>
      <c r="U106" s="85"/>
      <c r="V106" s="85"/>
      <c r="W106" s="85"/>
    </row>
    <row r="107" spans="1:23" ht="21" customHeight="1">
      <c r="A107" s="84"/>
      <c r="B107" s="86"/>
      <c r="C107" s="87"/>
      <c r="D107" s="85"/>
      <c r="E107" s="86"/>
      <c r="F107" s="88"/>
      <c r="G107" s="86"/>
      <c r="H107" s="86"/>
      <c r="I107" s="85"/>
      <c r="J107" s="85"/>
      <c r="K107" s="85"/>
      <c r="L107" s="85"/>
      <c r="M107" s="85"/>
      <c r="N107" s="86"/>
      <c r="O107" s="84"/>
      <c r="P107" s="85"/>
      <c r="Q107" s="85"/>
      <c r="R107" s="85"/>
      <c r="S107" s="85"/>
      <c r="T107" s="85"/>
      <c r="U107" s="85"/>
      <c r="V107" s="85"/>
      <c r="W107" s="85"/>
    </row>
    <row r="108" spans="1:23" ht="21" customHeight="1">
      <c r="A108" s="84"/>
      <c r="B108" s="86"/>
      <c r="C108" s="87"/>
      <c r="D108" s="85"/>
      <c r="E108" s="86"/>
      <c r="F108" s="88"/>
      <c r="G108" s="86"/>
      <c r="H108" s="86"/>
      <c r="I108" s="85"/>
      <c r="J108" s="85"/>
      <c r="K108" s="85"/>
      <c r="L108" s="85"/>
      <c r="M108" s="85"/>
      <c r="N108" s="86"/>
      <c r="O108" s="84"/>
      <c r="P108" s="85"/>
      <c r="Q108" s="85"/>
      <c r="R108" s="85"/>
      <c r="S108" s="85"/>
      <c r="T108" s="85"/>
      <c r="U108" s="85"/>
      <c r="V108" s="85"/>
      <c r="W108" s="85"/>
    </row>
    <row r="109" spans="1:23" ht="21" customHeight="1">
      <c r="A109" s="84"/>
      <c r="B109" s="86"/>
      <c r="C109" s="87"/>
      <c r="D109" s="85"/>
      <c r="E109" s="86"/>
      <c r="F109" s="88"/>
      <c r="G109" s="86"/>
      <c r="H109" s="86"/>
      <c r="I109" s="85"/>
      <c r="J109" s="85"/>
      <c r="K109" s="85"/>
      <c r="L109" s="85"/>
      <c r="M109" s="85"/>
      <c r="N109" s="86"/>
      <c r="O109" s="84"/>
      <c r="P109" s="85"/>
      <c r="Q109" s="85"/>
      <c r="R109" s="85"/>
      <c r="S109" s="85"/>
      <c r="T109" s="85"/>
      <c r="U109" s="85"/>
      <c r="V109" s="85"/>
      <c r="W109" s="85"/>
    </row>
    <row r="110" spans="1:23" ht="21" customHeight="1">
      <c r="A110" s="84"/>
      <c r="B110" s="86"/>
      <c r="C110" s="87"/>
      <c r="D110" s="85"/>
      <c r="E110" s="86"/>
      <c r="F110" s="88"/>
      <c r="G110" s="86"/>
      <c r="H110" s="86"/>
      <c r="I110" s="85"/>
      <c r="J110" s="85"/>
      <c r="K110" s="85"/>
      <c r="L110" s="85"/>
      <c r="M110" s="85"/>
      <c r="N110" s="86"/>
      <c r="O110" s="84"/>
      <c r="P110" s="85"/>
      <c r="Q110" s="85"/>
      <c r="R110" s="85"/>
      <c r="S110" s="85"/>
      <c r="T110" s="85"/>
      <c r="U110" s="85"/>
      <c r="V110" s="85"/>
      <c r="W110" s="85"/>
    </row>
    <row r="111" spans="1:23" ht="21" customHeight="1">
      <c r="A111" s="84"/>
      <c r="B111" s="86"/>
      <c r="C111" s="87"/>
      <c r="D111" s="85"/>
      <c r="E111" s="86"/>
      <c r="F111" s="88"/>
      <c r="G111" s="86"/>
      <c r="H111" s="86"/>
      <c r="I111" s="85"/>
      <c r="J111" s="85"/>
      <c r="K111" s="85"/>
      <c r="L111" s="85"/>
      <c r="M111" s="85"/>
      <c r="N111" s="86"/>
      <c r="O111" s="84"/>
      <c r="P111" s="85"/>
      <c r="Q111" s="85"/>
      <c r="R111" s="85"/>
      <c r="S111" s="85"/>
      <c r="T111" s="85"/>
      <c r="U111" s="85"/>
      <c r="V111" s="85"/>
      <c r="W111" s="85"/>
    </row>
    <row r="112" spans="1:23" ht="21" customHeight="1">
      <c r="A112" s="84"/>
      <c r="B112" s="86"/>
      <c r="C112" s="87"/>
      <c r="D112" s="85"/>
      <c r="E112" s="86"/>
      <c r="F112" s="88"/>
      <c r="G112" s="86"/>
      <c r="H112" s="86"/>
      <c r="I112" s="85"/>
      <c r="J112" s="85"/>
      <c r="K112" s="85"/>
      <c r="L112" s="85"/>
      <c r="M112" s="85"/>
      <c r="N112" s="86"/>
      <c r="O112" s="84"/>
      <c r="P112" s="85"/>
      <c r="Q112" s="85"/>
      <c r="R112" s="85"/>
      <c r="S112" s="85"/>
      <c r="T112" s="85"/>
      <c r="U112" s="85"/>
      <c r="V112" s="85"/>
      <c r="W112" s="85"/>
    </row>
    <row r="113" spans="1:23" ht="21" customHeight="1">
      <c r="A113" s="84"/>
      <c r="B113" s="86"/>
      <c r="C113" s="87"/>
      <c r="D113" s="85"/>
      <c r="E113" s="86"/>
      <c r="F113" s="88"/>
      <c r="G113" s="86"/>
      <c r="H113" s="86"/>
      <c r="I113" s="85"/>
      <c r="J113" s="85"/>
      <c r="K113" s="85"/>
      <c r="L113" s="85"/>
      <c r="M113" s="85"/>
      <c r="N113" s="86"/>
      <c r="O113" s="84"/>
      <c r="P113" s="85"/>
      <c r="Q113" s="85"/>
      <c r="R113" s="85"/>
      <c r="S113" s="85"/>
      <c r="T113" s="85"/>
      <c r="U113" s="85"/>
      <c r="V113" s="85"/>
      <c r="W113" s="85"/>
    </row>
    <row r="114" spans="1:23" ht="21" customHeight="1">
      <c r="A114" s="84"/>
      <c r="B114" s="86"/>
      <c r="C114" s="87"/>
      <c r="D114" s="85"/>
      <c r="E114" s="86"/>
      <c r="F114" s="88"/>
      <c r="G114" s="86"/>
      <c r="H114" s="86"/>
      <c r="I114" s="85"/>
      <c r="J114" s="85"/>
      <c r="K114" s="85"/>
      <c r="L114" s="85"/>
      <c r="M114" s="85"/>
      <c r="N114" s="86"/>
      <c r="O114" s="84"/>
      <c r="P114" s="85"/>
      <c r="Q114" s="85"/>
      <c r="R114" s="85"/>
      <c r="S114" s="85"/>
      <c r="T114" s="85"/>
      <c r="U114" s="85"/>
      <c r="V114" s="85"/>
      <c r="W114" s="85"/>
    </row>
    <row r="115" spans="1:23" ht="21" customHeight="1">
      <c r="A115" s="84"/>
      <c r="B115" s="86"/>
      <c r="C115" s="87"/>
      <c r="D115" s="85"/>
      <c r="E115" s="86"/>
      <c r="F115" s="88"/>
      <c r="G115" s="86"/>
      <c r="H115" s="86"/>
      <c r="I115" s="85"/>
      <c r="J115" s="85"/>
      <c r="K115" s="85"/>
      <c r="L115" s="85"/>
      <c r="M115" s="85"/>
      <c r="N115" s="86"/>
      <c r="O115" s="84"/>
      <c r="P115" s="85"/>
      <c r="Q115" s="85"/>
      <c r="R115" s="85"/>
      <c r="S115" s="85"/>
      <c r="T115" s="85"/>
      <c r="U115" s="85"/>
      <c r="V115" s="85"/>
      <c r="W115" s="85"/>
    </row>
    <row r="116" spans="1:23" ht="21" customHeight="1">
      <c r="A116" s="84"/>
      <c r="B116" s="86"/>
      <c r="C116" s="87"/>
      <c r="D116" s="85"/>
      <c r="E116" s="86"/>
      <c r="F116" s="88"/>
      <c r="G116" s="86"/>
      <c r="H116" s="86"/>
      <c r="I116" s="85"/>
      <c r="J116" s="85"/>
      <c r="K116" s="85"/>
      <c r="L116" s="85"/>
      <c r="M116" s="85"/>
      <c r="N116" s="86"/>
      <c r="O116" s="84"/>
      <c r="P116" s="85"/>
      <c r="Q116" s="85"/>
      <c r="R116" s="85"/>
      <c r="S116" s="85"/>
      <c r="T116" s="85"/>
      <c r="U116" s="85"/>
      <c r="V116" s="85"/>
      <c r="W116" s="85"/>
    </row>
    <row r="117" spans="1:23" ht="21" customHeight="1">
      <c r="A117" s="84"/>
      <c r="B117" s="86"/>
      <c r="C117" s="87"/>
      <c r="D117" s="85"/>
      <c r="E117" s="86"/>
      <c r="F117" s="88"/>
      <c r="G117" s="86"/>
      <c r="H117" s="86"/>
      <c r="I117" s="85"/>
      <c r="J117" s="85"/>
      <c r="K117" s="85"/>
      <c r="L117" s="85"/>
      <c r="M117" s="85"/>
      <c r="N117" s="86"/>
      <c r="O117" s="84"/>
      <c r="P117" s="85"/>
      <c r="Q117" s="85"/>
      <c r="R117" s="85"/>
      <c r="S117" s="85"/>
      <c r="T117" s="85"/>
      <c r="U117" s="85"/>
      <c r="V117" s="85"/>
      <c r="W117" s="85"/>
    </row>
    <row r="118" spans="1:23" ht="21" customHeight="1">
      <c r="A118" s="84"/>
      <c r="B118" s="86"/>
      <c r="C118" s="87"/>
      <c r="D118" s="85"/>
      <c r="E118" s="86"/>
      <c r="F118" s="88"/>
      <c r="G118" s="86"/>
      <c r="H118" s="86"/>
      <c r="I118" s="85"/>
      <c r="J118" s="85"/>
      <c r="K118" s="85"/>
      <c r="L118" s="85"/>
      <c r="M118" s="85"/>
      <c r="N118" s="86"/>
      <c r="O118" s="84"/>
      <c r="P118" s="85"/>
      <c r="Q118" s="85"/>
      <c r="R118" s="85"/>
      <c r="S118" s="85"/>
      <c r="T118" s="85"/>
      <c r="U118" s="85"/>
      <c r="V118" s="85"/>
      <c r="W118" s="85"/>
    </row>
    <row r="119" spans="1:23" ht="21" customHeight="1">
      <c r="A119" s="84"/>
      <c r="B119" s="86"/>
      <c r="C119" s="87"/>
      <c r="D119" s="85"/>
      <c r="E119" s="86"/>
      <c r="F119" s="88"/>
      <c r="G119" s="86"/>
      <c r="H119" s="86"/>
      <c r="I119" s="85"/>
      <c r="J119" s="85"/>
      <c r="K119" s="85"/>
      <c r="L119" s="85"/>
      <c r="M119" s="85"/>
      <c r="N119" s="86"/>
      <c r="O119" s="84"/>
      <c r="P119" s="85"/>
      <c r="Q119" s="85"/>
      <c r="R119" s="85"/>
      <c r="S119" s="85"/>
      <c r="T119" s="85"/>
      <c r="U119" s="85"/>
      <c r="V119" s="85"/>
      <c r="W119" s="85"/>
    </row>
    <row r="120" spans="1:23" ht="21" customHeight="1">
      <c r="A120" s="84"/>
      <c r="B120" s="86"/>
      <c r="C120" s="87"/>
      <c r="D120" s="85"/>
      <c r="E120" s="86"/>
      <c r="F120" s="88"/>
      <c r="G120" s="86"/>
      <c r="H120" s="86"/>
      <c r="I120" s="85"/>
      <c r="J120" s="85"/>
      <c r="K120" s="85"/>
      <c r="L120" s="85"/>
      <c r="M120" s="85"/>
      <c r="N120" s="86"/>
      <c r="O120" s="84"/>
      <c r="P120" s="85"/>
      <c r="Q120" s="85"/>
      <c r="R120" s="85"/>
      <c r="S120" s="85"/>
      <c r="T120" s="85"/>
      <c r="U120" s="85"/>
      <c r="V120" s="85"/>
      <c r="W120" s="85"/>
    </row>
    <row r="121" spans="1:23" ht="21" customHeight="1">
      <c r="A121" s="84"/>
      <c r="B121" s="86"/>
      <c r="C121" s="87"/>
      <c r="D121" s="85"/>
      <c r="E121" s="86"/>
      <c r="F121" s="88"/>
      <c r="G121" s="86"/>
      <c r="H121" s="86"/>
      <c r="I121" s="85"/>
      <c r="J121" s="85"/>
      <c r="K121" s="85"/>
      <c r="L121" s="85"/>
      <c r="M121" s="85"/>
      <c r="N121" s="86"/>
      <c r="O121" s="84"/>
      <c r="P121" s="85"/>
      <c r="Q121" s="85"/>
      <c r="R121" s="85"/>
      <c r="S121" s="85"/>
      <c r="T121" s="85"/>
      <c r="U121" s="85"/>
      <c r="V121" s="85"/>
      <c r="W121" s="85"/>
    </row>
    <row r="122" spans="1:23" ht="21" customHeight="1">
      <c r="A122" s="84"/>
      <c r="B122" s="86"/>
      <c r="C122" s="87"/>
      <c r="D122" s="85"/>
      <c r="E122" s="86"/>
      <c r="F122" s="88"/>
      <c r="G122" s="86"/>
      <c r="H122" s="86"/>
      <c r="I122" s="85"/>
      <c r="J122" s="85"/>
      <c r="K122" s="85"/>
      <c r="L122" s="85"/>
      <c r="M122" s="85"/>
      <c r="N122" s="86"/>
      <c r="O122" s="84"/>
      <c r="P122" s="85"/>
      <c r="Q122" s="85"/>
      <c r="R122" s="85"/>
      <c r="S122" s="85"/>
      <c r="T122" s="85"/>
      <c r="U122" s="85"/>
      <c r="V122" s="85"/>
      <c r="W122" s="85"/>
    </row>
    <row r="123" spans="1:23" ht="21" customHeight="1">
      <c r="A123" s="84"/>
      <c r="B123" s="86"/>
      <c r="C123" s="87"/>
      <c r="D123" s="85"/>
      <c r="E123" s="86"/>
      <c r="F123" s="88"/>
      <c r="G123" s="86"/>
      <c r="H123" s="86"/>
      <c r="I123" s="85"/>
      <c r="J123" s="85"/>
      <c r="K123" s="85"/>
      <c r="L123" s="85"/>
      <c r="M123" s="85"/>
      <c r="N123" s="86"/>
      <c r="O123" s="84"/>
      <c r="P123" s="85"/>
      <c r="Q123" s="85"/>
      <c r="R123" s="85"/>
      <c r="S123" s="85"/>
      <c r="T123" s="85"/>
      <c r="U123" s="85"/>
      <c r="V123" s="85"/>
      <c r="W123" s="85"/>
    </row>
    <row r="124" spans="1:23" ht="21" customHeight="1">
      <c r="A124" s="84"/>
      <c r="B124" s="86"/>
      <c r="C124" s="87"/>
      <c r="D124" s="85"/>
      <c r="E124" s="86"/>
      <c r="F124" s="88"/>
      <c r="G124" s="86"/>
      <c r="H124" s="86"/>
      <c r="I124" s="85"/>
      <c r="J124" s="85"/>
      <c r="K124" s="85"/>
      <c r="L124" s="85"/>
      <c r="M124" s="85"/>
      <c r="N124" s="86"/>
      <c r="O124" s="84"/>
      <c r="P124" s="85"/>
      <c r="Q124" s="85"/>
      <c r="R124" s="85"/>
      <c r="S124" s="85"/>
      <c r="T124" s="85"/>
      <c r="U124" s="85"/>
      <c r="V124" s="85"/>
      <c r="W124" s="85"/>
    </row>
    <row r="125" spans="1:23" ht="21" customHeight="1">
      <c r="A125" s="84"/>
      <c r="B125" s="86"/>
      <c r="C125" s="87"/>
      <c r="D125" s="85"/>
      <c r="E125" s="86"/>
      <c r="F125" s="88"/>
      <c r="G125" s="86"/>
      <c r="H125" s="86"/>
      <c r="I125" s="85"/>
      <c r="J125" s="85"/>
      <c r="K125" s="85"/>
      <c r="L125" s="85"/>
      <c r="M125" s="85"/>
      <c r="N125" s="86"/>
      <c r="O125" s="84"/>
      <c r="P125" s="85"/>
      <c r="Q125" s="85"/>
      <c r="R125" s="85"/>
      <c r="S125" s="85"/>
      <c r="T125" s="85"/>
      <c r="U125" s="85"/>
      <c r="V125" s="85"/>
      <c r="W125" s="85"/>
    </row>
    <row r="126" spans="1:23" ht="21" customHeight="1">
      <c r="A126" s="84"/>
      <c r="B126" s="86"/>
      <c r="C126" s="87"/>
      <c r="D126" s="85"/>
      <c r="E126" s="86"/>
      <c r="F126" s="88"/>
      <c r="G126" s="86"/>
      <c r="H126" s="86"/>
      <c r="I126" s="85"/>
      <c r="J126" s="85"/>
      <c r="K126" s="85"/>
      <c r="L126" s="85"/>
      <c r="M126" s="85"/>
      <c r="N126" s="86"/>
      <c r="O126" s="84"/>
      <c r="P126" s="85"/>
      <c r="Q126" s="85"/>
      <c r="R126" s="85"/>
      <c r="S126" s="85"/>
      <c r="T126" s="85"/>
      <c r="U126" s="85"/>
      <c r="V126" s="85"/>
      <c r="W126" s="85"/>
    </row>
    <row r="127" spans="1:23" ht="21" customHeight="1">
      <c r="A127" s="84"/>
      <c r="B127" s="86"/>
      <c r="C127" s="87"/>
      <c r="D127" s="85"/>
      <c r="E127" s="86"/>
      <c r="F127" s="88"/>
      <c r="G127" s="86"/>
      <c r="H127" s="86"/>
      <c r="I127" s="85"/>
      <c r="J127" s="85"/>
      <c r="K127" s="85"/>
      <c r="L127" s="85"/>
      <c r="M127" s="85"/>
      <c r="N127" s="86"/>
      <c r="O127" s="84"/>
      <c r="P127" s="85"/>
      <c r="Q127" s="85"/>
      <c r="R127" s="85"/>
      <c r="S127" s="85"/>
      <c r="T127" s="85"/>
      <c r="U127" s="85"/>
      <c r="V127" s="85"/>
      <c r="W127" s="85"/>
    </row>
    <row r="128" spans="1:23" ht="21" customHeight="1">
      <c r="A128" s="84"/>
      <c r="B128" s="86"/>
      <c r="C128" s="87"/>
      <c r="D128" s="85"/>
      <c r="E128" s="86"/>
      <c r="F128" s="88"/>
      <c r="G128" s="86"/>
      <c r="H128" s="86"/>
      <c r="I128" s="85"/>
      <c r="J128" s="85"/>
      <c r="K128" s="85"/>
      <c r="L128" s="85"/>
      <c r="M128" s="85"/>
      <c r="N128" s="86"/>
      <c r="O128" s="84"/>
      <c r="P128" s="85"/>
      <c r="Q128" s="85"/>
      <c r="R128" s="85"/>
      <c r="S128" s="85"/>
      <c r="T128" s="85"/>
      <c r="U128" s="85"/>
      <c r="V128" s="85"/>
      <c r="W128" s="85"/>
    </row>
    <row r="129" spans="1:23" ht="21" customHeight="1">
      <c r="A129" s="84"/>
      <c r="B129" s="86"/>
      <c r="C129" s="87"/>
      <c r="D129" s="85"/>
      <c r="E129" s="86"/>
      <c r="F129" s="88"/>
      <c r="G129" s="86"/>
      <c r="H129" s="86"/>
      <c r="I129" s="85"/>
      <c r="J129" s="85"/>
      <c r="K129" s="85"/>
      <c r="L129" s="85"/>
      <c r="M129" s="85"/>
      <c r="N129" s="86"/>
      <c r="O129" s="84"/>
      <c r="P129" s="85"/>
      <c r="Q129" s="85"/>
      <c r="R129" s="85"/>
      <c r="S129" s="85"/>
      <c r="T129" s="85"/>
      <c r="U129" s="85"/>
      <c r="V129" s="85"/>
      <c r="W129" s="85"/>
    </row>
    <row r="130" spans="1:23" ht="21" customHeight="1">
      <c r="A130" s="84"/>
      <c r="B130" s="86"/>
      <c r="C130" s="87"/>
      <c r="D130" s="85"/>
      <c r="E130" s="86"/>
      <c r="F130" s="88"/>
      <c r="G130" s="86"/>
      <c r="H130" s="86"/>
      <c r="I130" s="85"/>
      <c r="J130" s="85"/>
      <c r="K130" s="85"/>
      <c r="L130" s="85"/>
      <c r="M130" s="85"/>
      <c r="N130" s="86"/>
      <c r="O130" s="84"/>
      <c r="P130" s="85"/>
      <c r="Q130" s="85"/>
      <c r="R130" s="85"/>
      <c r="S130" s="85"/>
      <c r="T130" s="85"/>
      <c r="U130" s="85"/>
      <c r="V130" s="85"/>
      <c r="W130" s="85"/>
    </row>
    <row r="131" spans="1:23" ht="21" customHeight="1">
      <c r="A131" s="84"/>
      <c r="B131" s="86"/>
      <c r="C131" s="87"/>
      <c r="D131" s="85"/>
      <c r="E131" s="86"/>
      <c r="F131" s="88"/>
      <c r="G131" s="86"/>
      <c r="H131" s="86"/>
      <c r="I131" s="85"/>
      <c r="J131" s="85"/>
      <c r="K131" s="85"/>
      <c r="L131" s="85"/>
      <c r="M131" s="85"/>
      <c r="N131" s="86"/>
      <c r="O131" s="84"/>
      <c r="P131" s="85"/>
      <c r="Q131" s="85"/>
      <c r="R131" s="85"/>
      <c r="S131" s="85"/>
      <c r="T131" s="85"/>
      <c r="U131" s="85"/>
      <c r="V131" s="85"/>
      <c r="W131" s="85"/>
    </row>
    <row r="132" spans="1:23" ht="21" customHeight="1">
      <c r="A132" s="84"/>
      <c r="B132" s="86"/>
      <c r="C132" s="87"/>
      <c r="D132" s="85"/>
      <c r="E132" s="86"/>
      <c r="F132" s="88"/>
      <c r="G132" s="86"/>
      <c r="H132" s="86"/>
      <c r="I132" s="85"/>
      <c r="J132" s="85"/>
      <c r="K132" s="85"/>
      <c r="L132" s="85"/>
      <c r="M132" s="85"/>
      <c r="N132" s="86"/>
      <c r="O132" s="84"/>
      <c r="P132" s="85"/>
      <c r="Q132" s="85"/>
      <c r="R132" s="85"/>
      <c r="S132" s="85"/>
      <c r="T132" s="85"/>
      <c r="U132" s="85"/>
      <c r="V132" s="85"/>
      <c r="W132" s="85"/>
    </row>
    <row r="133" spans="1:23" ht="21" customHeight="1">
      <c r="A133" s="84"/>
      <c r="B133" s="86"/>
      <c r="C133" s="87"/>
      <c r="D133" s="85"/>
      <c r="E133" s="86"/>
      <c r="F133" s="88"/>
      <c r="G133" s="86"/>
      <c r="H133" s="86"/>
      <c r="I133" s="85"/>
      <c r="J133" s="85"/>
      <c r="K133" s="85"/>
      <c r="L133" s="85"/>
      <c r="M133" s="85"/>
      <c r="N133" s="86"/>
      <c r="O133" s="84"/>
      <c r="P133" s="85"/>
      <c r="Q133" s="85"/>
      <c r="R133" s="85"/>
      <c r="S133" s="85"/>
      <c r="T133" s="85"/>
      <c r="U133" s="85"/>
      <c r="V133" s="85"/>
      <c r="W133" s="85"/>
    </row>
    <row r="134" spans="1:23" ht="21" customHeight="1">
      <c r="A134" s="84"/>
      <c r="B134" s="86"/>
      <c r="C134" s="87"/>
      <c r="D134" s="85"/>
      <c r="E134" s="86"/>
      <c r="F134" s="88"/>
      <c r="G134" s="86"/>
      <c r="H134" s="86"/>
      <c r="I134" s="85"/>
      <c r="J134" s="85"/>
      <c r="K134" s="85"/>
      <c r="L134" s="85"/>
      <c r="M134" s="85"/>
      <c r="N134" s="86"/>
      <c r="O134" s="84"/>
      <c r="P134" s="85"/>
      <c r="Q134" s="85"/>
      <c r="R134" s="85"/>
      <c r="S134" s="85"/>
      <c r="T134" s="85"/>
      <c r="U134" s="85"/>
      <c r="V134" s="85"/>
      <c r="W134" s="85"/>
    </row>
    <row r="135" spans="1:23" ht="21" customHeight="1">
      <c r="A135" s="84"/>
      <c r="B135" s="86"/>
      <c r="C135" s="87"/>
      <c r="D135" s="85"/>
      <c r="E135" s="86"/>
      <c r="F135" s="88"/>
      <c r="G135" s="86"/>
      <c r="H135" s="86"/>
      <c r="I135" s="85"/>
      <c r="J135" s="85"/>
      <c r="K135" s="85"/>
      <c r="L135" s="85"/>
      <c r="M135" s="85"/>
      <c r="N135" s="86"/>
      <c r="O135" s="84"/>
      <c r="P135" s="85"/>
      <c r="Q135" s="85"/>
      <c r="R135" s="85"/>
      <c r="S135" s="85"/>
      <c r="T135" s="85"/>
      <c r="U135" s="85"/>
      <c r="V135" s="85"/>
      <c r="W135" s="85"/>
    </row>
    <row r="136" spans="1:23" ht="21" customHeight="1">
      <c r="A136" s="84"/>
      <c r="B136" s="86"/>
      <c r="C136" s="87"/>
      <c r="D136" s="85"/>
      <c r="E136" s="86"/>
      <c r="F136" s="88"/>
      <c r="G136" s="86"/>
      <c r="H136" s="86"/>
      <c r="I136" s="85"/>
      <c r="J136" s="85"/>
      <c r="K136" s="85"/>
      <c r="L136" s="85"/>
      <c r="M136" s="85"/>
      <c r="N136" s="86"/>
      <c r="O136" s="84"/>
      <c r="P136" s="85"/>
      <c r="Q136" s="85"/>
      <c r="R136" s="85"/>
      <c r="S136" s="85"/>
      <c r="T136" s="85"/>
      <c r="U136" s="85"/>
      <c r="V136" s="85"/>
      <c r="W136" s="85"/>
    </row>
    <row r="137" spans="1:23" ht="21" customHeight="1">
      <c r="A137" s="84"/>
      <c r="B137" s="86"/>
      <c r="C137" s="87"/>
      <c r="D137" s="85"/>
      <c r="E137" s="86"/>
      <c r="F137" s="88"/>
      <c r="G137" s="86"/>
      <c r="H137" s="86"/>
      <c r="I137" s="85"/>
      <c r="J137" s="85"/>
      <c r="K137" s="85"/>
      <c r="L137" s="85"/>
      <c r="M137" s="85"/>
      <c r="N137" s="86"/>
      <c r="O137" s="84"/>
      <c r="P137" s="85"/>
      <c r="Q137" s="85"/>
      <c r="R137" s="85"/>
      <c r="S137" s="85"/>
      <c r="T137" s="85"/>
      <c r="U137" s="85"/>
      <c r="V137" s="85"/>
      <c r="W137" s="85"/>
    </row>
    <row r="138" spans="1:23" ht="21" customHeight="1">
      <c r="A138" s="84"/>
      <c r="B138" s="86"/>
      <c r="C138" s="87"/>
      <c r="D138" s="85"/>
      <c r="E138" s="86"/>
      <c r="F138" s="88"/>
      <c r="G138" s="86"/>
      <c r="H138" s="86"/>
      <c r="I138" s="85"/>
      <c r="J138" s="85"/>
      <c r="K138" s="85"/>
      <c r="L138" s="85"/>
      <c r="M138" s="85"/>
      <c r="N138" s="86"/>
      <c r="O138" s="84"/>
      <c r="P138" s="85"/>
      <c r="Q138" s="85"/>
      <c r="R138" s="85"/>
      <c r="S138" s="85"/>
      <c r="T138" s="85"/>
      <c r="U138" s="85"/>
      <c r="V138" s="85"/>
      <c r="W138" s="85"/>
    </row>
    <row r="139" spans="1:23" ht="21" customHeight="1">
      <c r="A139" s="84"/>
      <c r="B139" s="86"/>
      <c r="C139" s="87"/>
      <c r="D139" s="85"/>
      <c r="E139" s="86"/>
      <c r="F139" s="88"/>
      <c r="G139" s="86"/>
      <c r="H139" s="86"/>
      <c r="I139" s="85"/>
      <c r="J139" s="85"/>
      <c r="K139" s="85"/>
      <c r="L139" s="85"/>
      <c r="M139" s="85"/>
      <c r="N139" s="86"/>
      <c r="O139" s="84"/>
      <c r="P139" s="85"/>
      <c r="Q139" s="85"/>
      <c r="R139" s="85"/>
      <c r="S139" s="85"/>
      <c r="T139" s="85"/>
      <c r="U139" s="85"/>
      <c r="V139" s="85"/>
      <c r="W139" s="85"/>
    </row>
    <row r="140" spans="1:23" ht="21" customHeight="1">
      <c r="A140" s="84"/>
      <c r="B140" s="86"/>
      <c r="C140" s="87"/>
      <c r="D140" s="85"/>
      <c r="E140" s="86"/>
      <c r="F140" s="88"/>
      <c r="G140" s="86"/>
      <c r="H140" s="86"/>
      <c r="I140" s="85"/>
      <c r="J140" s="85"/>
      <c r="K140" s="85"/>
      <c r="L140" s="85"/>
      <c r="M140" s="85"/>
      <c r="N140" s="86"/>
      <c r="O140" s="84"/>
      <c r="P140" s="85"/>
      <c r="Q140" s="85"/>
      <c r="R140" s="85"/>
      <c r="S140" s="85"/>
      <c r="T140" s="85"/>
      <c r="U140" s="85"/>
      <c r="V140" s="85"/>
      <c r="W140" s="85"/>
    </row>
    <row r="141" spans="1:23" ht="21" customHeight="1">
      <c r="A141" s="84"/>
      <c r="B141" s="86"/>
      <c r="C141" s="87"/>
      <c r="D141" s="85"/>
      <c r="E141" s="86"/>
      <c r="F141" s="88"/>
      <c r="G141" s="86"/>
      <c r="H141" s="86"/>
      <c r="I141" s="85"/>
      <c r="J141" s="85"/>
      <c r="K141" s="85"/>
      <c r="L141" s="85"/>
      <c r="M141" s="85"/>
      <c r="N141" s="86"/>
      <c r="O141" s="84"/>
      <c r="P141" s="85"/>
      <c r="Q141" s="85"/>
      <c r="R141" s="85"/>
      <c r="S141" s="85"/>
      <c r="T141" s="85"/>
      <c r="U141" s="85"/>
      <c r="V141" s="85"/>
      <c r="W141" s="85"/>
    </row>
    <row r="142" spans="1:23" ht="21" customHeight="1">
      <c r="A142" s="84"/>
      <c r="B142" s="86"/>
      <c r="C142" s="87"/>
      <c r="D142" s="85"/>
      <c r="E142" s="86"/>
      <c r="F142" s="88"/>
      <c r="G142" s="86"/>
      <c r="H142" s="86"/>
      <c r="I142" s="85"/>
      <c r="J142" s="85"/>
      <c r="K142" s="85"/>
      <c r="L142" s="85"/>
      <c r="M142" s="85"/>
      <c r="N142" s="86"/>
      <c r="O142" s="84"/>
      <c r="P142" s="85"/>
      <c r="Q142" s="85"/>
      <c r="R142" s="85"/>
      <c r="S142" s="85"/>
      <c r="T142" s="85"/>
      <c r="U142" s="85"/>
      <c r="V142" s="85"/>
      <c r="W142" s="85"/>
    </row>
    <row r="143" spans="1:23" ht="21" customHeight="1">
      <c r="A143" s="84"/>
      <c r="B143" s="86"/>
      <c r="C143" s="87"/>
      <c r="D143" s="85"/>
      <c r="E143" s="86"/>
      <c r="F143" s="88"/>
      <c r="G143" s="86"/>
      <c r="H143" s="86"/>
      <c r="I143" s="85"/>
      <c r="J143" s="85"/>
      <c r="K143" s="85"/>
      <c r="L143" s="85"/>
      <c r="M143" s="85"/>
      <c r="N143" s="86"/>
      <c r="O143" s="84"/>
      <c r="P143" s="85"/>
      <c r="Q143" s="85"/>
      <c r="R143" s="85"/>
      <c r="S143" s="85"/>
      <c r="T143" s="85"/>
      <c r="U143" s="85"/>
      <c r="V143" s="85"/>
      <c r="W143" s="85"/>
    </row>
    <row r="144" spans="1:23" ht="21" customHeight="1">
      <c r="A144" s="84"/>
      <c r="B144" s="86"/>
      <c r="C144" s="87"/>
      <c r="D144" s="85"/>
      <c r="E144" s="86"/>
      <c r="F144" s="88"/>
      <c r="G144" s="86"/>
      <c r="H144" s="86"/>
      <c r="I144" s="85"/>
      <c r="J144" s="85"/>
      <c r="K144" s="85"/>
      <c r="L144" s="85"/>
      <c r="M144" s="85"/>
      <c r="N144" s="86"/>
      <c r="O144" s="84"/>
      <c r="P144" s="85"/>
      <c r="Q144" s="85"/>
      <c r="R144" s="85"/>
      <c r="S144" s="85"/>
      <c r="T144" s="85"/>
      <c r="U144" s="85"/>
      <c r="V144" s="85"/>
      <c r="W144" s="85"/>
    </row>
    <row r="145" spans="1:23" ht="21" customHeight="1">
      <c r="A145" s="84"/>
      <c r="B145" s="86"/>
      <c r="C145" s="87"/>
      <c r="D145" s="85"/>
      <c r="E145" s="86"/>
      <c r="F145" s="88"/>
      <c r="G145" s="86"/>
      <c r="H145" s="86"/>
      <c r="I145" s="85"/>
      <c r="J145" s="85"/>
      <c r="K145" s="85"/>
      <c r="L145" s="85"/>
      <c r="M145" s="85"/>
      <c r="N145" s="86"/>
      <c r="O145" s="84"/>
      <c r="P145" s="85"/>
      <c r="Q145" s="85"/>
      <c r="R145" s="85"/>
      <c r="S145" s="85"/>
      <c r="T145" s="85"/>
      <c r="U145" s="85"/>
      <c r="V145" s="85"/>
      <c r="W145" s="85"/>
    </row>
    <row r="146" spans="1:23" ht="21" customHeight="1">
      <c r="A146" s="84"/>
      <c r="B146" s="86"/>
      <c r="C146" s="87"/>
      <c r="D146" s="85"/>
      <c r="E146" s="86"/>
      <c r="F146" s="88"/>
      <c r="G146" s="86"/>
      <c r="H146" s="86"/>
      <c r="I146" s="85"/>
      <c r="J146" s="85"/>
      <c r="K146" s="85"/>
      <c r="L146" s="85"/>
      <c r="M146" s="85"/>
      <c r="N146" s="86"/>
      <c r="O146" s="84"/>
      <c r="P146" s="85"/>
      <c r="Q146" s="85"/>
      <c r="R146" s="85"/>
      <c r="S146" s="85"/>
      <c r="T146" s="85"/>
      <c r="U146" s="85"/>
      <c r="V146" s="85"/>
      <c r="W146" s="85"/>
    </row>
    <row r="147" spans="1:23" ht="21" customHeight="1">
      <c r="A147" s="84"/>
      <c r="B147" s="86"/>
      <c r="C147" s="87"/>
      <c r="D147" s="85"/>
      <c r="E147" s="86"/>
      <c r="F147" s="88"/>
      <c r="G147" s="86"/>
      <c r="H147" s="86"/>
      <c r="I147" s="85"/>
      <c r="J147" s="85"/>
      <c r="K147" s="85"/>
      <c r="L147" s="85"/>
      <c r="M147" s="85"/>
      <c r="N147" s="86"/>
      <c r="O147" s="84"/>
      <c r="P147" s="85"/>
      <c r="Q147" s="85"/>
      <c r="R147" s="85"/>
      <c r="S147" s="85"/>
      <c r="T147" s="85"/>
      <c r="U147" s="85"/>
      <c r="V147" s="85"/>
      <c r="W147" s="85"/>
    </row>
    <row r="148" spans="1:23" ht="21" customHeight="1">
      <c r="A148" s="84"/>
      <c r="B148" s="86"/>
      <c r="C148" s="87"/>
      <c r="D148" s="85"/>
      <c r="E148" s="86"/>
      <c r="F148" s="88"/>
      <c r="G148" s="86"/>
      <c r="H148" s="86"/>
      <c r="I148" s="85"/>
      <c r="J148" s="85"/>
      <c r="K148" s="85"/>
      <c r="L148" s="85"/>
      <c r="M148" s="85"/>
      <c r="N148" s="86"/>
      <c r="O148" s="84"/>
      <c r="P148" s="85"/>
      <c r="Q148" s="85"/>
      <c r="R148" s="85"/>
      <c r="S148" s="85"/>
      <c r="T148" s="85"/>
      <c r="U148" s="85"/>
      <c r="V148" s="85"/>
      <c r="W148" s="85"/>
    </row>
    <row r="149" spans="1:23" ht="21" customHeight="1">
      <c r="A149" s="84"/>
      <c r="B149" s="86"/>
      <c r="C149" s="87"/>
      <c r="D149" s="85"/>
      <c r="E149" s="86"/>
      <c r="F149" s="88"/>
      <c r="G149" s="86"/>
      <c r="H149" s="86"/>
      <c r="I149" s="85"/>
      <c r="J149" s="85"/>
      <c r="K149" s="85"/>
      <c r="L149" s="85"/>
      <c r="M149" s="85"/>
      <c r="N149" s="86"/>
      <c r="O149" s="84"/>
      <c r="P149" s="85"/>
      <c r="Q149" s="85"/>
      <c r="R149" s="85"/>
      <c r="S149" s="85"/>
      <c r="T149" s="85"/>
      <c r="U149" s="85"/>
      <c r="V149" s="85"/>
      <c r="W149" s="85"/>
    </row>
    <row r="150" spans="1:23" ht="21" customHeight="1">
      <c r="A150" s="84"/>
      <c r="B150" s="86"/>
      <c r="C150" s="87"/>
      <c r="D150" s="85"/>
      <c r="E150" s="86"/>
      <c r="F150" s="88"/>
      <c r="G150" s="86"/>
      <c r="H150" s="86"/>
      <c r="I150" s="85"/>
      <c r="J150" s="85"/>
      <c r="K150" s="85"/>
      <c r="L150" s="85"/>
      <c r="M150" s="85"/>
      <c r="N150" s="86"/>
      <c r="O150" s="84"/>
      <c r="P150" s="85"/>
      <c r="Q150" s="85"/>
      <c r="R150" s="85"/>
      <c r="S150" s="85"/>
      <c r="T150" s="85"/>
      <c r="U150" s="85"/>
      <c r="V150" s="85"/>
      <c r="W150" s="85"/>
    </row>
    <row r="151" spans="1:23" ht="21" customHeight="1">
      <c r="A151" s="84"/>
      <c r="B151" s="86"/>
      <c r="C151" s="87"/>
      <c r="D151" s="85"/>
      <c r="E151" s="86"/>
      <c r="F151" s="88"/>
      <c r="G151" s="86"/>
      <c r="H151" s="86"/>
      <c r="I151" s="85"/>
      <c r="J151" s="85"/>
      <c r="K151" s="85"/>
      <c r="L151" s="85"/>
      <c r="M151" s="85"/>
      <c r="N151" s="86"/>
      <c r="O151" s="84"/>
      <c r="P151" s="85"/>
      <c r="Q151" s="85"/>
      <c r="R151" s="85"/>
      <c r="S151" s="85"/>
      <c r="T151" s="85"/>
      <c r="U151" s="85"/>
      <c r="V151" s="85"/>
      <c r="W151" s="85"/>
    </row>
    <row r="152" spans="1:23" ht="21" customHeight="1">
      <c r="A152" s="84"/>
      <c r="B152" s="86"/>
      <c r="C152" s="87"/>
      <c r="D152" s="85"/>
      <c r="E152" s="86"/>
      <c r="F152" s="88"/>
      <c r="G152" s="86"/>
      <c r="H152" s="86"/>
      <c r="I152" s="85"/>
      <c r="J152" s="85"/>
      <c r="K152" s="85"/>
      <c r="L152" s="85"/>
      <c r="M152" s="85"/>
      <c r="N152" s="86"/>
      <c r="O152" s="84"/>
      <c r="P152" s="85"/>
      <c r="Q152" s="85"/>
      <c r="R152" s="85"/>
      <c r="S152" s="85"/>
      <c r="T152" s="85"/>
      <c r="U152" s="85"/>
      <c r="V152" s="85"/>
      <c r="W152" s="85"/>
    </row>
    <row r="153" spans="1:23" ht="21" customHeight="1">
      <c r="A153" s="84"/>
      <c r="B153" s="86"/>
      <c r="C153" s="87"/>
      <c r="D153" s="85"/>
      <c r="E153" s="86"/>
      <c r="F153" s="88"/>
      <c r="G153" s="86"/>
      <c r="H153" s="86"/>
      <c r="I153" s="85"/>
      <c r="J153" s="85"/>
      <c r="K153" s="85"/>
      <c r="L153" s="85"/>
      <c r="M153" s="85"/>
      <c r="N153" s="86"/>
      <c r="O153" s="84"/>
      <c r="P153" s="85"/>
      <c r="Q153" s="85"/>
      <c r="R153" s="85"/>
      <c r="S153" s="85"/>
      <c r="T153" s="85"/>
      <c r="U153" s="85"/>
      <c r="V153" s="85"/>
      <c r="W153" s="85"/>
    </row>
    <row r="154" spans="1:23" ht="21" customHeight="1">
      <c r="A154" s="84"/>
      <c r="B154" s="86"/>
      <c r="C154" s="87"/>
      <c r="D154" s="85"/>
      <c r="E154" s="86"/>
      <c r="F154" s="88"/>
      <c r="G154" s="86"/>
      <c r="H154" s="86"/>
      <c r="I154" s="85"/>
      <c r="J154" s="85"/>
      <c r="K154" s="85"/>
      <c r="L154" s="85"/>
      <c r="M154" s="85"/>
      <c r="N154" s="86"/>
      <c r="O154" s="84"/>
      <c r="P154" s="85"/>
      <c r="Q154" s="85"/>
      <c r="R154" s="85"/>
      <c r="S154" s="85"/>
      <c r="T154" s="85"/>
      <c r="U154" s="85"/>
      <c r="V154" s="85"/>
      <c r="W154" s="85"/>
    </row>
    <row r="155" spans="1:23" ht="21" customHeight="1">
      <c r="A155" s="84"/>
      <c r="B155" s="86"/>
      <c r="C155" s="87"/>
      <c r="D155" s="85"/>
      <c r="E155" s="86"/>
      <c r="F155" s="88"/>
      <c r="G155" s="86"/>
      <c r="H155" s="86"/>
      <c r="I155" s="85"/>
      <c r="J155" s="85"/>
      <c r="K155" s="85"/>
      <c r="L155" s="85"/>
      <c r="M155" s="85"/>
      <c r="N155" s="86"/>
      <c r="O155" s="84"/>
      <c r="P155" s="85"/>
      <c r="Q155" s="85"/>
      <c r="R155" s="85"/>
      <c r="S155" s="85"/>
      <c r="T155" s="85"/>
      <c r="U155" s="85"/>
      <c r="V155" s="85"/>
      <c r="W155" s="85"/>
    </row>
    <row r="156" spans="1:23" ht="21" customHeight="1">
      <c r="A156" s="84"/>
      <c r="B156" s="86"/>
      <c r="C156" s="87"/>
      <c r="D156" s="85"/>
      <c r="E156" s="86"/>
      <c r="F156" s="88"/>
      <c r="G156" s="86"/>
      <c r="H156" s="86"/>
      <c r="I156" s="85"/>
      <c r="J156" s="85"/>
      <c r="K156" s="85"/>
      <c r="L156" s="85"/>
      <c r="M156" s="85"/>
      <c r="N156" s="86"/>
      <c r="O156" s="84"/>
      <c r="P156" s="85"/>
      <c r="Q156" s="85"/>
      <c r="R156" s="85"/>
      <c r="S156" s="85"/>
      <c r="T156" s="85"/>
      <c r="U156" s="85"/>
      <c r="V156" s="85"/>
      <c r="W156" s="85"/>
    </row>
    <row r="157" spans="1:23" ht="21" customHeight="1">
      <c r="A157" s="84"/>
      <c r="B157" s="86"/>
      <c r="C157" s="87"/>
      <c r="D157" s="85"/>
      <c r="E157" s="86"/>
      <c r="F157" s="88"/>
      <c r="G157" s="86"/>
      <c r="H157" s="86"/>
      <c r="I157" s="85"/>
      <c r="J157" s="85"/>
      <c r="K157" s="85"/>
      <c r="L157" s="85"/>
      <c r="M157" s="85"/>
      <c r="N157" s="86"/>
      <c r="O157" s="84"/>
      <c r="P157" s="85"/>
      <c r="Q157" s="85"/>
      <c r="R157" s="85"/>
      <c r="S157" s="85"/>
      <c r="T157" s="85"/>
      <c r="U157" s="85"/>
      <c r="V157" s="85"/>
      <c r="W157" s="85"/>
    </row>
    <row r="158" spans="1:23" ht="21" customHeight="1">
      <c r="A158" s="84"/>
      <c r="B158" s="86"/>
      <c r="C158" s="87"/>
      <c r="D158" s="85"/>
      <c r="E158" s="86"/>
      <c r="F158" s="88"/>
      <c r="G158" s="86"/>
      <c r="H158" s="86"/>
      <c r="I158" s="85"/>
      <c r="J158" s="85"/>
      <c r="K158" s="85"/>
      <c r="L158" s="85"/>
      <c r="M158" s="85"/>
      <c r="N158" s="86"/>
      <c r="O158" s="84"/>
      <c r="P158" s="85"/>
      <c r="Q158" s="85"/>
      <c r="R158" s="85"/>
      <c r="S158" s="85"/>
      <c r="T158" s="85"/>
      <c r="U158" s="85"/>
      <c r="V158" s="85"/>
      <c r="W158" s="85"/>
    </row>
    <row r="159" spans="1:23" ht="21" customHeight="1">
      <c r="A159" s="84"/>
      <c r="B159" s="86"/>
      <c r="C159" s="87"/>
      <c r="D159" s="85"/>
      <c r="E159" s="86"/>
      <c r="F159" s="88"/>
      <c r="G159" s="86"/>
      <c r="H159" s="86"/>
      <c r="I159" s="85"/>
      <c r="J159" s="85"/>
      <c r="K159" s="85"/>
      <c r="L159" s="85"/>
      <c r="M159" s="85"/>
      <c r="N159" s="86"/>
      <c r="O159" s="84"/>
      <c r="P159" s="85"/>
      <c r="Q159" s="85"/>
      <c r="R159" s="85"/>
      <c r="S159" s="85"/>
      <c r="T159" s="85"/>
      <c r="U159" s="85"/>
      <c r="V159" s="85"/>
      <c r="W159" s="85"/>
    </row>
    <row r="160" spans="1:23" ht="21" customHeight="1">
      <c r="A160" s="84"/>
      <c r="B160" s="86"/>
      <c r="C160" s="87"/>
      <c r="D160" s="85"/>
      <c r="E160" s="86"/>
      <c r="F160" s="88"/>
      <c r="G160" s="86"/>
      <c r="H160" s="86"/>
      <c r="I160" s="85"/>
      <c r="J160" s="85"/>
      <c r="K160" s="85"/>
      <c r="L160" s="85"/>
      <c r="M160" s="85"/>
      <c r="N160" s="86"/>
      <c r="O160" s="84"/>
      <c r="P160" s="85"/>
      <c r="Q160" s="85"/>
      <c r="R160" s="85"/>
      <c r="S160" s="85"/>
      <c r="T160" s="85"/>
      <c r="U160" s="85"/>
      <c r="V160" s="85"/>
      <c r="W160" s="85"/>
    </row>
    <row r="161" spans="1:23" ht="21" customHeight="1">
      <c r="A161" s="84"/>
      <c r="B161" s="86"/>
      <c r="C161" s="87"/>
      <c r="D161" s="85"/>
      <c r="E161" s="86"/>
      <c r="F161" s="88"/>
      <c r="G161" s="86"/>
      <c r="H161" s="86"/>
      <c r="I161" s="85"/>
      <c r="J161" s="85"/>
      <c r="K161" s="85"/>
      <c r="L161" s="85"/>
      <c r="M161" s="85"/>
      <c r="N161" s="86"/>
      <c r="O161" s="84"/>
      <c r="P161" s="85"/>
      <c r="Q161" s="85"/>
      <c r="R161" s="85"/>
      <c r="S161" s="85"/>
      <c r="T161" s="85"/>
      <c r="U161" s="85"/>
      <c r="V161" s="85"/>
      <c r="W161" s="85"/>
    </row>
    <row r="162" spans="1:23" ht="21" customHeight="1">
      <c r="A162" s="84"/>
      <c r="B162" s="86"/>
      <c r="C162" s="87"/>
      <c r="D162" s="85"/>
      <c r="E162" s="86"/>
      <c r="F162" s="88"/>
      <c r="G162" s="86"/>
      <c r="H162" s="86"/>
      <c r="I162" s="85"/>
      <c r="J162" s="85"/>
      <c r="K162" s="85"/>
      <c r="L162" s="85"/>
      <c r="M162" s="85"/>
      <c r="N162" s="86"/>
      <c r="O162" s="84"/>
      <c r="P162" s="85"/>
      <c r="Q162" s="85"/>
      <c r="R162" s="85"/>
      <c r="S162" s="85"/>
      <c r="T162" s="85"/>
      <c r="U162" s="85"/>
      <c r="V162" s="85"/>
      <c r="W162" s="85"/>
    </row>
    <row r="163" spans="1:23" ht="21" customHeight="1">
      <c r="A163" s="84"/>
      <c r="B163" s="86"/>
      <c r="C163" s="87"/>
      <c r="D163" s="85"/>
      <c r="E163" s="86"/>
      <c r="F163" s="88"/>
      <c r="G163" s="86"/>
      <c r="H163" s="86"/>
      <c r="I163" s="85"/>
      <c r="J163" s="85"/>
      <c r="K163" s="85"/>
      <c r="L163" s="85"/>
      <c r="M163" s="85"/>
      <c r="N163" s="86"/>
      <c r="O163" s="84"/>
      <c r="P163" s="85"/>
      <c r="Q163" s="85"/>
      <c r="R163" s="85"/>
      <c r="S163" s="85"/>
      <c r="T163" s="85"/>
      <c r="U163" s="85"/>
      <c r="V163" s="85"/>
      <c r="W163" s="85"/>
    </row>
    <row r="164" spans="1:23" ht="21" customHeight="1">
      <c r="A164" s="84"/>
      <c r="B164" s="86"/>
      <c r="C164" s="87"/>
      <c r="D164" s="85"/>
      <c r="E164" s="86"/>
      <c r="F164" s="88"/>
      <c r="G164" s="86"/>
      <c r="H164" s="86"/>
      <c r="I164" s="85"/>
      <c r="J164" s="85"/>
      <c r="K164" s="85"/>
      <c r="L164" s="85"/>
      <c r="M164" s="85"/>
      <c r="N164" s="86"/>
      <c r="O164" s="84"/>
      <c r="P164" s="85"/>
      <c r="Q164" s="85"/>
      <c r="R164" s="85"/>
      <c r="S164" s="85"/>
      <c r="T164" s="85"/>
      <c r="U164" s="85"/>
      <c r="V164" s="85"/>
      <c r="W164" s="85"/>
    </row>
    <row r="165" spans="1:23" ht="21" customHeight="1">
      <c r="A165" s="84"/>
      <c r="B165" s="86"/>
      <c r="C165" s="87"/>
      <c r="D165" s="85"/>
      <c r="E165" s="86"/>
      <c r="F165" s="88"/>
      <c r="G165" s="86"/>
      <c r="H165" s="86"/>
      <c r="I165" s="85"/>
      <c r="J165" s="85"/>
      <c r="K165" s="85"/>
      <c r="L165" s="85"/>
      <c r="M165" s="85"/>
      <c r="N165" s="86"/>
      <c r="O165" s="84"/>
      <c r="P165" s="85"/>
      <c r="Q165" s="85"/>
      <c r="R165" s="85"/>
      <c r="S165" s="85"/>
      <c r="T165" s="85"/>
      <c r="U165" s="85"/>
      <c r="V165" s="85"/>
      <c r="W165" s="85"/>
    </row>
    <row r="166" spans="1:23" ht="21" customHeight="1">
      <c r="A166" s="84"/>
      <c r="B166" s="86"/>
      <c r="C166" s="87"/>
      <c r="D166" s="85"/>
      <c r="E166" s="86"/>
      <c r="F166" s="88"/>
      <c r="G166" s="86"/>
      <c r="H166" s="86"/>
      <c r="I166" s="85"/>
      <c r="J166" s="85"/>
      <c r="K166" s="85"/>
      <c r="L166" s="85"/>
      <c r="M166" s="85"/>
      <c r="N166" s="86"/>
      <c r="O166" s="84"/>
      <c r="P166" s="85"/>
      <c r="Q166" s="85"/>
      <c r="R166" s="85"/>
      <c r="S166" s="85"/>
      <c r="T166" s="85"/>
      <c r="U166" s="85"/>
      <c r="V166" s="85"/>
      <c r="W166" s="85"/>
    </row>
    <row r="167" spans="1:23" ht="21" customHeight="1">
      <c r="A167" s="84"/>
      <c r="B167" s="86"/>
      <c r="C167" s="87"/>
      <c r="D167" s="85"/>
      <c r="E167" s="86"/>
      <c r="F167" s="88"/>
      <c r="G167" s="86"/>
      <c r="H167" s="86"/>
      <c r="I167" s="85"/>
      <c r="J167" s="85"/>
      <c r="K167" s="85"/>
      <c r="L167" s="85"/>
      <c r="M167" s="85"/>
      <c r="N167" s="86"/>
      <c r="O167" s="84"/>
      <c r="P167" s="85"/>
      <c r="Q167" s="85"/>
      <c r="R167" s="85"/>
      <c r="S167" s="85"/>
      <c r="T167" s="85"/>
      <c r="U167" s="85"/>
      <c r="V167" s="85"/>
      <c r="W167" s="85"/>
    </row>
    <row r="168" spans="1:23" ht="21" customHeight="1">
      <c r="A168" s="84"/>
      <c r="B168" s="86"/>
      <c r="C168" s="87"/>
      <c r="D168" s="85"/>
      <c r="E168" s="86"/>
      <c r="F168" s="88"/>
      <c r="G168" s="86"/>
      <c r="H168" s="86"/>
      <c r="I168" s="85"/>
      <c r="J168" s="85"/>
      <c r="K168" s="85"/>
      <c r="L168" s="85"/>
      <c r="M168" s="85"/>
      <c r="N168" s="86"/>
      <c r="O168" s="84"/>
      <c r="P168" s="85"/>
      <c r="Q168" s="85"/>
      <c r="R168" s="85"/>
      <c r="S168" s="85"/>
      <c r="T168" s="85"/>
      <c r="U168" s="85"/>
      <c r="V168" s="85"/>
      <c r="W168" s="85"/>
    </row>
    <row r="169" spans="1:23" ht="21" customHeight="1">
      <c r="A169" s="84"/>
      <c r="B169" s="86"/>
      <c r="C169" s="87"/>
      <c r="D169" s="85"/>
      <c r="E169" s="86"/>
      <c r="F169" s="88"/>
      <c r="G169" s="86"/>
      <c r="H169" s="86"/>
      <c r="I169" s="85"/>
      <c r="J169" s="85"/>
      <c r="K169" s="85"/>
      <c r="L169" s="85"/>
      <c r="M169" s="85"/>
      <c r="N169" s="86"/>
      <c r="O169" s="84"/>
      <c r="P169" s="85"/>
      <c r="Q169" s="85"/>
      <c r="R169" s="85"/>
      <c r="S169" s="85"/>
      <c r="T169" s="85"/>
      <c r="U169" s="85"/>
      <c r="V169" s="85"/>
      <c r="W169" s="85"/>
    </row>
    <row r="170" spans="1:23" ht="21" customHeight="1">
      <c r="A170" s="84"/>
      <c r="B170" s="86"/>
      <c r="C170" s="87"/>
      <c r="D170" s="85"/>
      <c r="E170" s="86"/>
      <c r="F170" s="88"/>
      <c r="G170" s="86"/>
      <c r="H170" s="86"/>
      <c r="I170" s="85"/>
      <c r="J170" s="85"/>
      <c r="K170" s="85"/>
      <c r="L170" s="85"/>
      <c r="M170" s="85"/>
      <c r="N170" s="86"/>
      <c r="O170" s="84"/>
      <c r="P170" s="85"/>
      <c r="Q170" s="85"/>
      <c r="R170" s="85"/>
      <c r="S170" s="85"/>
      <c r="T170" s="85"/>
      <c r="U170" s="85"/>
      <c r="V170" s="85"/>
      <c r="W170" s="85"/>
    </row>
    <row r="171" spans="1:23" ht="21" customHeight="1">
      <c r="A171" s="84"/>
      <c r="B171" s="86"/>
      <c r="C171" s="87"/>
      <c r="D171" s="85"/>
      <c r="E171" s="86"/>
      <c r="F171" s="88"/>
      <c r="G171" s="86"/>
      <c r="H171" s="86"/>
      <c r="I171" s="85"/>
      <c r="J171" s="85"/>
      <c r="K171" s="85"/>
      <c r="L171" s="85"/>
      <c r="M171" s="85"/>
      <c r="N171" s="86"/>
      <c r="O171" s="84"/>
      <c r="P171" s="85"/>
      <c r="Q171" s="85"/>
      <c r="R171" s="85"/>
      <c r="S171" s="85"/>
      <c r="T171" s="85"/>
      <c r="U171" s="85"/>
      <c r="V171" s="85"/>
      <c r="W171" s="85"/>
    </row>
    <row r="172" spans="1:23" ht="21" customHeight="1">
      <c r="A172" s="84"/>
      <c r="B172" s="86"/>
      <c r="C172" s="87"/>
      <c r="D172" s="85"/>
      <c r="E172" s="86"/>
      <c r="F172" s="88"/>
      <c r="G172" s="86"/>
      <c r="H172" s="86"/>
      <c r="I172" s="85"/>
      <c r="J172" s="85"/>
      <c r="K172" s="85"/>
      <c r="L172" s="85"/>
      <c r="M172" s="85"/>
      <c r="N172" s="86"/>
      <c r="O172" s="84"/>
      <c r="P172" s="85"/>
      <c r="Q172" s="85"/>
      <c r="R172" s="85"/>
      <c r="S172" s="85"/>
      <c r="T172" s="85"/>
      <c r="U172" s="85"/>
      <c r="V172" s="85"/>
      <c r="W172" s="85"/>
    </row>
    <row r="173" spans="1:23" ht="21" customHeight="1">
      <c r="A173" s="84"/>
      <c r="B173" s="86"/>
      <c r="C173" s="87"/>
      <c r="D173" s="85"/>
      <c r="E173" s="86"/>
      <c r="F173" s="88"/>
      <c r="G173" s="86"/>
      <c r="H173" s="86"/>
      <c r="I173" s="85"/>
      <c r="J173" s="85"/>
      <c r="K173" s="85"/>
      <c r="L173" s="85"/>
      <c r="M173" s="85"/>
      <c r="N173" s="86"/>
      <c r="O173" s="84"/>
      <c r="P173" s="85"/>
      <c r="Q173" s="85"/>
      <c r="R173" s="85"/>
      <c r="S173" s="85"/>
      <c r="T173" s="85"/>
      <c r="U173" s="85"/>
      <c r="V173" s="85"/>
      <c r="W173" s="85"/>
    </row>
    <row r="174" spans="1:23" ht="21" customHeight="1">
      <c r="A174" s="84"/>
      <c r="B174" s="86"/>
      <c r="C174" s="87"/>
      <c r="D174" s="85"/>
      <c r="E174" s="86"/>
      <c r="F174" s="88"/>
      <c r="G174" s="86"/>
      <c r="H174" s="86"/>
      <c r="I174" s="85"/>
      <c r="J174" s="85"/>
      <c r="K174" s="85"/>
      <c r="L174" s="85"/>
      <c r="M174" s="85"/>
      <c r="N174" s="86"/>
      <c r="O174" s="84"/>
      <c r="P174" s="85"/>
      <c r="Q174" s="85"/>
      <c r="R174" s="85"/>
      <c r="S174" s="85"/>
      <c r="T174" s="85"/>
      <c r="U174" s="85"/>
      <c r="V174" s="85"/>
      <c r="W174" s="85"/>
    </row>
    <row r="175" spans="1:23" ht="21" customHeight="1">
      <c r="A175" s="84"/>
      <c r="B175" s="86"/>
      <c r="C175" s="87"/>
      <c r="D175" s="85"/>
      <c r="E175" s="86"/>
      <c r="F175" s="88"/>
      <c r="G175" s="86"/>
      <c r="H175" s="86"/>
      <c r="I175" s="85"/>
      <c r="J175" s="85"/>
      <c r="K175" s="85"/>
      <c r="L175" s="85"/>
      <c r="M175" s="85"/>
      <c r="N175" s="86"/>
      <c r="O175" s="84"/>
      <c r="P175" s="85"/>
      <c r="Q175" s="85"/>
      <c r="R175" s="85"/>
      <c r="S175" s="85"/>
      <c r="T175" s="85"/>
      <c r="U175" s="85"/>
      <c r="V175" s="85"/>
      <c r="W175" s="85"/>
    </row>
    <row r="176" spans="1:23" ht="21" customHeight="1">
      <c r="A176" s="84"/>
      <c r="B176" s="86"/>
      <c r="C176" s="87"/>
      <c r="D176" s="85"/>
      <c r="E176" s="86"/>
      <c r="F176" s="88"/>
      <c r="G176" s="86"/>
      <c r="H176" s="86"/>
      <c r="I176" s="85"/>
      <c r="J176" s="85"/>
      <c r="K176" s="85"/>
      <c r="L176" s="85"/>
      <c r="M176" s="85"/>
      <c r="N176" s="86"/>
      <c r="O176" s="84"/>
      <c r="P176" s="85"/>
      <c r="Q176" s="85"/>
      <c r="R176" s="85"/>
      <c r="S176" s="85"/>
      <c r="T176" s="85"/>
      <c r="U176" s="85"/>
      <c r="V176" s="85"/>
      <c r="W176" s="85"/>
    </row>
    <row r="177" spans="1:23" ht="21" customHeight="1">
      <c r="A177" s="84"/>
      <c r="B177" s="86"/>
      <c r="C177" s="87"/>
      <c r="D177" s="85"/>
      <c r="E177" s="86"/>
      <c r="F177" s="88"/>
      <c r="G177" s="86"/>
      <c r="H177" s="86"/>
      <c r="I177" s="85"/>
      <c r="J177" s="85"/>
      <c r="K177" s="85"/>
      <c r="L177" s="85"/>
      <c r="M177" s="85"/>
      <c r="N177" s="86"/>
      <c r="O177" s="84"/>
      <c r="P177" s="85"/>
      <c r="Q177" s="85"/>
      <c r="R177" s="85"/>
      <c r="S177" s="85"/>
      <c r="T177" s="85"/>
      <c r="U177" s="85"/>
      <c r="V177" s="85"/>
      <c r="W177" s="85"/>
    </row>
    <row r="178" spans="1:23" ht="21" customHeight="1">
      <c r="A178" s="84"/>
      <c r="B178" s="86"/>
      <c r="C178" s="87"/>
      <c r="D178" s="85"/>
      <c r="E178" s="86"/>
      <c r="F178" s="88"/>
      <c r="G178" s="86"/>
      <c r="H178" s="86"/>
      <c r="I178" s="85"/>
      <c r="J178" s="85"/>
      <c r="K178" s="85"/>
      <c r="L178" s="85"/>
      <c r="M178" s="85"/>
      <c r="N178" s="86"/>
      <c r="O178" s="84"/>
      <c r="P178" s="85"/>
      <c r="Q178" s="85"/>
      <c r="R178" s="85"/>
      <c r="S178" s="85"/>
      <c r="T178" s="85"/>
      <c r="U178" s="85"/>
      <c r="V178" s="85"/>
      <c r="W178" s="85"/>
    </row>
    <row r="179" spans="1:23" ht="21" customHeight="1">
      <c r="A179" s="84"/>
      <c r="B179" s="86"/>
      <c r="C179" s="87"/>
      <c r="D179" s="85"/>
      <c r="E179" s="86"/>
      <c r="F179" s="88"/>
      <c r="G179" s="86"/>
      <c r="H179" s="86"/>
      <c r="I179" s="85"/>
      <c r="J179" s="85"/>
      <c r="K179" s="85"/>
      <c r="L179" s="85"/>
      <c r="M179" s="85"/>
      <c r="N179" s="86"/>
      <c r="O179" s="84"/>
      <c r="P179" s="85"/>
      <c r="Q179" s="85"/>
      <c r="R179" s="85"/>
      <c r="S179" s="85"/>
      <c r="T179" s="85"/>
      <c r="U179" s="85"/>
      <c r="V179" s="85"/>
      <c r="W179" s="85"/>
    </row>
    <row r="180" spans="1:23" ht="21" customHeight="1">
      <c r="A180" s="84"/>
      <c r="B180" s="86"/>
      <c r="C180" s="87"/>
      <c r="D180" s="85"/>
      <c r="E180" s="86"/>
      <c r="F180" s="88"/>
      <c r="G180" s="86"/>
      <c r="H180" s="86"/>
      <c r="I180" s="85"/>
      <c r="J180" s="85"/>
      <c r="K180" s="85"/>
      <c r="L180" s="85"/>
      <c r="M180" s="85"/>
      <c r="N180" s="86"/>
      <c r="O180" s="84"/>
      <c r="P180" s="85"/>
      <c r="Q180" s="85"/>
      <c r="R180" s="85"/>
      <c r="S180" s="85"/>
      <c r="T180" s="85"/>
      <c r="U180" s="85"/>
      <c r="V180" s="85"/>
      <c r="W180" s="85"/>
    </row>
    <row r="181" spans="1:23" ht="21" customHeight="1">
      <c r="A181" s="84"/>
      <c r="B181" s="86"/>
      <c r="C181" s="87"/>
      <c r="D181" s="85"/>
      <c r="E181" s="86"/>
      <c r="F181" s="88"/>
      <c r="G181" s="86"/>
      <c r="H181" s="86"/>
      <c r="I181" s="85"/>
      <c r="J181" s="85"/>
      <c r="K181" s="85"/>
      <c r="L181" s="85"/>
      <c r="M181" s="85"/>
      <c r="N181" s="86"/>
      <c r="O181" s="84"/>
      <c r="P181" s="85"/>
      <c r="Q181" s="85"/>
      <c r="R181" s="85"/>
      <c r="S181" s="85"/>
      <c r="T181" s="85"/>
      <c r="U181" s="85"/>
      <c r="V181" s="85"/>
      <c r="W181" s="85"/>
    </row>
    <row r="182" spans="1:23" ht="21" customHeight="1">
      <c r="A182" s="84"/>
      <c r="B182" s="86"/>
      <c r="C182" s="87"/>
      <c r="D182" s="85"/>
      <c r="E182" s="86"/>
      <c r="F182" s="88"/>
      <c r="G182" s="86"/>
      <c r="H182" s="86"/>
      <c r="I182" s="85"/>
      <c r="J182" s="85"/>
      <c r="K182" s="85"/>
      <c r="L182" s="85"/>
      <c r="M182" s="85"/>
      <c r="N182" s="86"/>
      <c r="O182" s="84"/>
      <c r="P182" s="85"/>
      <c r="Q182" s="85"/>
      <c r="R182" s="85"/>
      <c r="S182" s="85"/>
      <c r="T182" s="85"/>
      <c r="U182" s="85"/>
      <c r="V182" s="85"/>
      <c r="W182" s="85"/>
    </row>
    <row r="183" spans="1:23" ht="21" customHeight="1">
      <c r="A183" s="84"/>
      <c r="B183" s="86"/>
      <c r="C183" s="87"/>
      <c r="D183" s="85"/>
      <c r="E183" s="86"/>
      <c r="F183" s="88"/>
      <c r="G183" s="86"/>
      <c r="H183" s="86"/>
      <c r="I183" s="85"/>
      <c r="J183" s="85"/>
      <c r="K183" s="85"/>
      <c r="L183" s="85"/>
      <c r="M183" s="85"/>
      <c r="N183" s="86"/>
      <c r="O183" s="84"/>
      <c r="P183" s="85"/>
      <c r="Q183" s="85"/>
      <c r="R183" s="85"/>
      <c r="S183" s="85"/>
      <c r="T183" s="85"/>
      <c r="U183" s="85"/>
      <c r="V183" s="85"/>
      <c r="W183" s="85"/>
    </row>
    <row r="184" spans="1:23" ht="21" customHeight="1">
      <c r="A184" s="84"/>
      <c r="B184" s="86"/>
      <c r="C184" s="87"/>
      <c r="D184" s="85"/>
      <c r="E184" s="86"/>
      <c r="F184" s="88"/>
      <c r="G184" s="86"/>
      <c r="H184" s="86"/>
      <c r="I184" s="85"/>
      <c r="J184" s="85"/>
      <c r="K184" s="85"/>
      <c r="L184" s="85"/>
      <c r="M184" s="85"/>
      <c r="N184" s="86"/>
      <c r="O184" s="84"/>
      <c r="P184" s="85"/>
      <c r="Q184" s="85"/>
      <c r="R184" s="85"/>
      <c r="S184" s="85"/>
      <c r="T184" s="85"/>
      <c r="U184" s="85"/>
      <c r="V184" s="85"/>
      <c r="W184" s="85"/>
    </row>
    <row r="185" spans="1:23" ht="21" customHeight="1">
      <c r="A185" s="84"/>
      <c r="B185" s="86"/>
      <c r="C185" s="87"/>
      <c r="D185" s="85"/>
      <c r="E185" s="86"/>
      <c r="F185" s="88"/>
      <c r="G185" s="86"/>
      <c r="H185" s="86"/>
      <c r="I185" s="85"/>
      <c r="J185" s="85"/>
      <c r="K185" s="85"/>
      <c r="L185" s="85"/>
      <c r="M185" s="85"/>
      <c r="N185" s="86"/>
      <c r="O185" s="84"/>
      <c r="P185" s="85"/>
      <c r="Q185" s="85"/>
      <c r="R185" s="85"/>
      <c r="S185" s="85"/>
      <c r="T185" s="85"/>
      <c r="U185" s="85"/>
      <c r="V185" s="85"/>
      <c r="W185" s="85"/>
    </row>
    <row r="186" spans="1:23" ht="21" customHeight="1">
      <c r="A186" s="84"/>
      <c r="B186" s="86"/>
      <c r="C186" s="87"/>
      <c r="D186" s="85"/>
      <c r="E186" s="86"/>
      <c r="F186" s="88"/>
      <c r="G186" s="86"/>
      <c r="H186" s="86"/>
      <c r="I186" s="85"/>
      <c r="J186" s="85"/>
      <c r="K186" s="85"/>
      <c r="L186" s="85"/>
      <c r="M186" s="85"/>
      <c r="N186" s="86"/>
      <c r="O186" s="84"/>
      <c r="P186" s="85"/>
      <c r="Q186" s="85"/>
      <c r="R186" s="85"/>
      <c r="S186" s="85"/>
      <c r="T186" s="85"/>
      <c r="U186" s="85"/>
      <c r="V186" s="85"/>
      <c r="W186" s="85"/>
    </row>
    <row r="187" spans="1:23" ht="21" customHeight="1">
      <c r="A187" s="84"/>
      <c r="B187" s="86"/>
      <c r="C187" s="87"/>
      <c r="D187" s="85"/>
      <c r="E187" s="86"/>
      <c r="F187" s="88"/>
      <c r="G187" s="86"/>
      <c r="H187" s="86"/>
      <c r="I187" s="85"/>
      <c r="J187" s="85"/>
      <c r="K187" s="85"/>
      <c r="L187" s="85"/>
      <c r="M187" s="85"/>
      <c r="N187" s="86"/>
      <c r="O187" s="84"/>
      <c r="P187" s="85"/>
      <c r="Q187" s="85"/>
      <c r="R187" s="85"/>
      <c r="S187" s="85"/>
      <c r="T187" s="85"/>
      <c r="U187" s="85"/>
      <c r="V187" s="85"/>
      <c r="W187" s="85"/>
    </row>
    <row r="188" spans="1:23" ht="21" customHeight="1">
      <c r="A188" s="84"/>
      <c r="B188" s="86"/>
      <c r="C188" s="87"/>
      <c r="D188" s="85"/>
      <c r="E188" s="86"/>
      <c r="F188" s="88"/>
      <c r="G188" s="86"/>
      <c r="H188" s="86"/>
      <c r="I188" s="85"/>
      <c r="J188" s="85"/>
      <c r="K188" s="85"/>
      <c r="L188" s="85"/>
      <c r="M188" s="85"/>
      <c r="N188" s="86"/>
      <c r="O188" s="84"/>
      <c r="P188" s="85"/>
      <c r="Q188" s="85"/>
      <c r="R188" s="85"/>
      <c r="S188" s="85"/>
      <c r="T188" s="85"/>
      <c r="U188" s="85"/>
      <c r="V188" s="85"/>
      <c r="W188" s="85"/>
    </row>
    <row r="189" spans="1:23" ht="21" customHeight="1">
      <c r="A189" s="84"/>
      <c r="B189" s="86"/>
      <c r="C189" s="87"/>
      <c r="D189" s="85"/>
      <c r="E189" s="86"/>
      <c r="F189" s="88"/>
      <c r="G189" s="86"/>
      <c r="H189" s="86"/>
      <c r="I189" s="85"/>
      <c r="J189" s="85"/>
      <c r="K189" s="85"/>
      <c r="L189" s="85"/>
      <c r="M189" s="85"/>
      <c r="N189" s="86"/>
      <c r="O189" s="84"/>
      <c r="P189" s="85"/>
      <c r="Q189" s="85"/>
      <c r="R189" s="85"/>
      <c r="S189" s="85"/>
      <c r="T189" s="85"/>
      <c r="U189" s="85"/>
      <c r="V189" s="85"/>
      <c r="W189" s="85"/>
    </row>
    <row r="190" spans="1:23" ht="21" customHeight="1">
      <c r="A190" s="84"/>
      <c r="B190" s="86"/>
      <c r="C190" s="87"/>
      <c r="D190" s="85"/>
      <c r="E190" s="86"/>
      <c r="F190" s="88"/>
      <c r="G190" s="86"/>
      <c r="H190" s="86"/>
      <c r="I190" s="85"/>
      <c r="J190" s="85"/>
      <c r="K190" s="85"/>
      <c r="L190" s="85"/>
      <c r="M190" s="85"/>
      <c r="N190" s="86"/>
      <c r="O190" s="84"/>
      <c r="P190" s="85"/>
      <c r="Q190" s="85"/>
      <c r="R190" s="85"/>
      <c r="S190" s="85"/>
      <c r="T190" s="85"/>
      <c r="U190" s="85"/>
      <c r="V190" s="85"/>
      <c r="W190" s="85"/>
    </row>
    <row r="191" spans="1:23" ht="21" customHeight="1">
      <c r="A191" s="84"/>
      <c r="B191" s="86"/>
      <c r="C191" s="87"/>
      <c r="D191" s="85"/>
      <c r="E191" s="86"/>
      <c r="F191" s="88"/>
      <c r="G191" s="86"/>
      <c r="H191" s="86"/>
      <c r="I191" s="85"/>
      <c r="J191" s="85"/>
      <c r="K191" s="85"/>
      <c r="L191" s="85"/>
      <c r="M191" s="85"/>
      <c r="N191" s="86"/>
      <c r="O191" s="84"/>
      <c r="P191" s="85"/>
      <c r="Q191" s="85"/>
      <c r="R191" s="85"/>
      <c r="S191" s="85"/>
      <c r="T191" s="85"/>
      <c r="U191" s="85"/>
      <c r="V191" s="85"/>
      <c r="W191" s="85"/>
    </row>
    <row r="192" spans="1:23" ht="21" customHeight="1">
      <c r="A192" s="84"/>
      <c r="B192" s="86"/>
      <c r="C192" s="87"/>
      <c r="D192" s="85"/>
      <c r="E192" s="86"/>
      <c r="F192" s="88"/>
      <c r="G192" s="86"/>
      <c r="H192" s="86"/>
      <c r="I192" s="85"/>
      <c r="J192" s="85"/>
      <c r="K192" s="85"/>
      <c r="L192" s="85"/>
      <c r="M192" s="85"/>
      <c r="N192" s="86"/>
      <c r="O192" s="84"/>
      <c r="P192" s="85"/>
      <c r="Q192" s="85"/>
      <c r="R192" s="85"/>
      <c r="S192" s="85"/>
      <c r="T192" s="85"/>
      <c r="U192" s="85"/>
      <c r="V192" s="85"/>
      <c r="W192" s="85"/>
    </row>
    <row r="193" spans="1:23" ht="21" customHeight="1">
      <c r="A193" s="84"/>
      <c r="B193" s="86"/>
      <c r="C193" s="87"/>
      <c r="D193" s="85"/>
      <c r="E193" s="86"/>
      <c r="F193" s="88"/>
      <c r="G193" s="86"/>
      <c r="H193" s="86"/>
      <c r="I193" s="85"/>
      <c r="J193" s="85"/>
      <c r="K193" s="85"/>
      <c r="L193" s="85"/>
      <c r="M193" s="85"/>
      <c r="N193" s="86"/>
      <c r="O193" s="84"/>
      <c r="P193" s="85"/>
      <c r="Q193" s="85"/>
      <c r="R193" s="85"/>
      <c r="S193" s="85"/>
      <c r="T193" s="85"/>
      <c r="U193" s="85"/>
      <c r="V193" s="85"/>
      <c r="W193" s="85"/>
    </row>
    <row r="194" spans="1:23" ht="21" customHeight="1">
      <c r="A194" s="84"/>
      <c r="B194" s="86"/>
      <c r="C194" s="87"/>
      <c r="D194" s="85"/>
      <c r="E194" s="86"/>
      <c r="F194" s="88"/>
      <c r="G194" s="86"/>
      <c r="H194" s="86"/>
      <c r="I194" s="85"/>
      <c r="J194" s="85"/>
      <c r="K194" s="85"/>
      <c r="L194" s="85"/>
      <c r="M194" s="85"/>
      <c r="N194" s="86"/>
      <c r="O194" s="84"/>
      <c r="P194" s="85"/>
      <c r="Q194" s="85"/>
      <c r="R194" s="85"/>
      <c r="S194" s="85"/>
      <c r="T194" s="85"/>
      <c r="U194" s="85"/>
      <c r="V194" s="85"/>
      <c r="W194" s="85"/>
    </row>
    <row r="195" spans="1:23" ht="21" customHeight="1">
      <c r="A195" s="84"/>
      <c r="B195" s="86"/>
      <c r="C195" s="87"/>
      <c r="D195" s="85"/>
      <c r="E195" s="86"/>
      <c r="F195" s="88"/>
      <c r="G195" s="86"/>
      <c r="H195" s="86"/>
      <c r="I195" s="85"/>
      <c r="J195" s="85"/>
      <c r="K195" s="85"/>
      <c r="L195" s="85"/>
      <c r="M195" s="85"/>
      <c r="N195" s="86"/>
      <c r="O195" s="84"/>
      <c r="P195" s="85"/>
      <c r="Q195" s="85"/>
      <c r="R195" s="85"/>
      <c r="S195" s="85"/>
      <c r="T195" s="85"/>
      <c r="U195" s="85"/>
      <c r="V195" s="85"/>
      <c r="W195" s="85"/>
    </row>
    <row r="196" spans="1:23" ht="21" customHeight="1">
      <c r="A196" s="84"/>
      <c r="B196" s="86"/>
      <c r="C196" s="87"/>
      <c r="D196" s="85"/>
      <c r="E196" s="86"/>
      <c r="F196" s="88"/>
      <c r="G196" s="86"/>
      <c r="H196" s="86"/>
      <c r="I196" s="85"/>
      <c r="J196" s="85"/>
      <c r="K196" s="85"/>
      <c r="L196" s="85"/>
      <c r="M196" s="85"/>
      <c r="N196" s="86"/>
      <c r="O196" s="84"/>
      <c r="P196" s="85"/>
      <c r="Q196" s="85"/>
      <c r="R196" s="85"/>
      <c r="S196" s="85"/>
      <c r="T196" s="85"/>
      <c r="U196" s="85"/>
      <c r="V196" s="85"/>
      <c r="W196" s="85"/>
    </row>
    <row r="197" spans="1:23" ht="21" customHeight="1">
      <c r="A197" s="84"/>
      <c r="B197" s="86"/>
      <c r="C197" s="87"/>
      <c r="D197" s="85"/>
      <c r="E197" s="86"/>
      <c r="F197" s="88"/>
      <c r="G197" s="86"/>
      <c r="H197" s="86"/>
      <c r="I197" s="85"/>
      <c r="J197" s="85"/>
      <c r="K197" s="85"/>
      <c r="L197" s="85"/>
      <c r="M197" s="85"/>
      <c r="N197" s="86"/>
      <c r="O197" s="84"/>
      <c r="P197" s="85"/>
      <c r="Q197" s="85"/>
      <c r="R197" s="85"/>
      <c r="S197" s="85"/>
      <c r="T197" s="85"/>
      <c r="U197" s="85"/>
      <c r="V197" s="85"/>
      <c r="W197" s="85"/>
    </row>
    <row r="198" spans="1:23" ht="21" customHeight="1">
      <c r="A198" s="84"/>
      <c r="B198" s="86"/>
      <c r="C198" s="87"/>
      <c r="D198" s="85"/>
      <c r="E198" s="86"/>
      <c r="F198" s="88"/>
      <c r="G198" s="86"/>
      <c r="H198" s="86"/>
      <c r="I198" s="85"/>
      <c r="J198" s="85"/>
      <c r="K198" s="85"/>
      <c r="L198" s="85"/>
      <c r="M198" s="85"/>
      <c r="N198" s="86"/>
      <c r="O198" s="84"/>
      <c r="P198" s="85"/>
      <c r="Q198" s="85"/>
      <c r="R198" s="85"/>
      <c r="S198" s="85"/>
      <c r="T198" s="85"/>
      <c r="U198" s="85"/>
      <c r="V198" s="85"/>
      <c r="W198" s="85"/>
    </row>
    <row r="199" spans="1:23" ht="21" customHeight="1">
      <c r="A199" s="84"/>
      <c r="B199" s="86"/>
      <c r="C199" s="87"/>
      <c r="D199" s="85"/>
      <c r="E199" s="86"/>
      <c r="F199" s="88"/>
      <c r="G199" s="86"/>
      <c r="H199" s="86"/>
      <c r="I199" s="85"/>
      <c r="J199" s="85"/>
      <c r="K199" s="85"/>
      <c r="L199" s="85"/>
      <c r="M199" s="85"/>
      <c r="N199" s="86"/>
      <c r="O199" s="84"/>
      <c r="P199" s="85"/>
      <c r="Q199" s="85"/>
      <c r="R199" s="85"/>
      <c r="S199" s="85"/>
      <c r="T199" s="85"/>
      <c r="U199" s="85"/>
      <c r="V199" s="85"/>
      <c r="W199" s="85"/>
    </row>
    <row r="200" spans="1:23" ht="21" customHeight="1">
      <c r="A200" s="84"/>
      <c r="B200" s="86"/>
      <c r="C200" s="87"/>
      <c r="D200" s="85"/>
      <c r="E200" s="86"/>
      <c r="F200" s="88"/>
      <c r="G200" s="86"/>
      <c r="H200" s="86"/>
      <c r="I200" s="85"/>
      <c r="J200" s="85"/>
      <c r="K200" s="85"/>
      <c r="L200" s="85"/>
      <c r="M200" s="85"/>
      <c r="N200" s="86"/>
      <c r="O200" s="84"/>
      <c r="P200" s="85"/>
      <c r="Q200" s="85"/>
      <c r="R200" s="85"/>
      <c r="S200" s="85"/>
      <c r="T200" s="85"/>
      <c r="U200" s="85"/>
      <c r="V200" s="85"/>
      <c r="W200" s="85"/>
    </row>
    <row r="201" spans="1:23" ht="21" customHeight="1">
      <c r="A201" s="84"/>
      <c r="B201" s="86"/>
      <c r="C201" s="87"/>
      <c r="D201" s="85"/>
      <c r="E201" s="86"/>
      <c r="F201" s="88"/>
      <c r="G201" s="86"/>
      <c r="H201" s="86"/>
      <c r="I201" s="85"/>
      <c r="J201" s="85"/>
      <c r="K201" s="85"/>
      <c r="L201" s="85"/>
      <c r="M201" s="85"/>
      <c r="N201" s="86"/>
      <c r="O201" s="84"/>
      <c r="P201" s="85"/>
      <c r="Q201" s="85"/>
      <c r="R201" s="85"/>
      <c r="S201" s="85"/>
      <c r="T201" s="85"/>
      <c r="U201" s="85"/>
      <c r="V201" s="85"/>
      <c r="W201" s="85"/>
    </row>
    <row r="202" spans="1:23" ht="21" customHeight="1">
      <c r="A202" s="84"/>
      <c r="B202" s="86"/>
      <c r="C202" s="87"/>
      <c r="D202" s="85"/>
      <c r="E202" s="86"/>
      <c r="F202" s="88"/>
      <c r="G202" s="86"/>
      <c r="H202" s="86"/>
      <c r="I202" s="85"/>
      <c r="J202" s="85"/>
      <c r="K202" s="85"/>
      <c r="L202" s="85"/>
      <c r="M202" s="85"/>
      <c r="N202" s="86"/>
      <c r="O202" s="84"/>
      <c r="P202" s="85"/>
      <c r="Q202" s="85"/>
      <c r="R202" s="85"/>
      <c r="S202" s="85"/>
      <c r="T202" s="85"/>
      <c r="U202" s="85"/>
      <c r="V202" s="85"/>
      <c r="W202" s="85"/>
    </row>
    <row r="203" spans="1:23" ht="21" customHeight="1">
      <c r="A203" s="84"/>
      <c r="B203" s="86"/>
      <c r="C203" s="87"/>
      <c r="D203" s="85"/>
      <c r="E203" s="86"/>
      <c r="F203" s="88"/>
      <c r="G203" s="86"/>
      <c r="H203" s="86"/>
      <c r="I203" s="85"/>
      <c r="J203" s="85"/>
      <c r="K203" s="85"/>
      <c r="L203" s="85"/>
      <c r="M203" s="85"/>
      <c r="N203" s="86"/>
      <c r="O203" s="84"/>
      <c r="P203" s="85"/>
      <c r="Q203" s="85"/>
      <c r="R203" s="85"/>
      <c r="S203" s="85"/>
      <c r="T203" s="85"/>
      <c r="U203" s="85"/>
      <c r="V203" s="85"/>
      <c r="W203" s="85"/>
    </row>
    <row r="204" spans="1:23" ht="21" customHeight="1">
      <c r="A204" s="84"/>
      <c r="B204" s="86"/>
      <c r="C204" s="87"/>
      <c r="D204" s="85"/>
      <c r="E204" s="86"/>
      <c r="F204" s="88"/>
      <c r="G204" s="86"/>
      <c r="H204" s="86"/>
      <c r="I204" s="85"/>
      <c r="J204" s="85"/>
      <c r="K204" s="85"/>
      <c r="L204" s="85"/>
      <c r="M204" s="85"/>
      <c r="N204" s="86"/>
      <c r="O204" s="84"/>
      <c r="P204" s="85"/>
      <c r="Q204" s="85"/>
      <c r="R204" s="85"/>
      <c r="S204" s="85"/>
      <c r="T204" s="85"/>
      <c r="U204" s="85"/>
      <c r="V204" s="85"/>
      <c r="W204" s="85"/>
    </row>
    <row r="205" spans="1:23" ht="21" customHeight="1">
      <c r="A205" s="84"/>
      <c r="B205" s="86"/>
      <c r="C205" s="87"/>
      <c r="D205" s="85"/>
      <c r="E205" s="86"/>
      <c r="F205" s="88"/>
      <c r="G205" s="86"/>
      <c r="H205" s="86"/>
      <c r="I205" s="85"/>
      <c r="J205" s="85"/>
      <c r="K205" s="85"/>
      <c r="L205" s="85"/>
      <c r="M205" s="85"/>
      <c r="N205" s="86"/>
      <c r="O205" s="84"/>
      <c r="P205" s="85"/>
      <c r="Q205" s="85"/>
      <c r="R205" s="85"/>
      <c r="S205" s="85"/>
      <c r="T205" s="85"/>
      <c r="U205" s="85"/>
      <c r="V205" s="85"/>
      <c r="W205" s="85"/>
    </row>
    <row r="206" spans="1:23" ht="21" customHeight="1">
      <c r="A206" s="84"/>
      <c r="B206" s="86"/>
      <c r="C206" s="87"/>
      <c r="D206" s="85"/>
      <c r="E206" s="86"/>
      <c r="F206" s="88"/>
      <c r="G206" s="86"/>
      <c r="H206" s="86"/>
      <c r="I206" s="85"/>
      <c r="J206" s="85"/>
      <c r="K206" s="85"/>
      <c r="L206" s="85"/>
      <c r="M206" s="85"/>
      <c r="N206" s="86"/>
      <c r="O206" s="84"/>
      <c r="P206" s="85"/>
      <c r="Q206" s="85"/>
      <c r="R206" s="85"/>
      <c r="S206" s="85"/>
      <c r="T206" s="85"/>
      <c r="U206" s="85"/>
      <c r="V206" s="85"/>
      <c r="W206" s="85"/>
    </row>
    <row r="207" spans="1:23" ht="21" customHeight="1">
      <c r="A207" s="84"/>
      <c r="B207" s="86"/>
      <c r="C207" s="87"/>
      <c r="D207" s="85"/>
      <c r="E207" s="86"/>
      <c r="F207" s="88"/>
      <c r="G207" s="86"/>
      <c r="H207" s="86"/>
      <c r="I207" s="85"/>
      <c r="J207" s="85"/>
      <c r="K207" s="85"/>
      <c r="L207" s="85"/>
      <c r="M207" s="85"/>
      <c r="N207" s="86"/>
      <c r="O207" s="84"/>
      <c r="P207" s="85"/>
      <c r="Q207" s="85"/>
      <c r="R207" s="85"/>
      <c r="S207" s="85"/>
      <c r="T207" s="85"/>
      <c r="U207" s="85"/>
      <c r="V207" s="85"/>
      <c r="W207" s="85"/>
    </row>
    <row r="208" spans="1:23" ht="21" customHeight="1">
      <c r="A208" s="84"/>
      <c r="B208" s="86"/>
      <c r="C208" s="87"/>
      <c r="D208" s="85"/>
      <c r="E208" s="86"/>
      <c r="F208" s="88"/>
      <c r="G208" s="86"/>
      <c r="H208" s="86"/>
      <c r="I208" s="85"/>
      <c r="J208" s="85"/>
      <c r="K208" s="85"/>
      <c r="L208" s="85"/>
      <c r="M208" s="85"/>
      <c r="N208" s="86"/>
      <c r="O208" s="84"/>
      <c r="P208" s="85"/>
      <c r="Q208" s="85"/>
      <c r="R208" s="85"/>
      <c r="S208" s="85"/>
      <c r="T208" s="85"/>
      <c r="U208" s="85"/>
      <c r="V208" s="85"/>
      <c r="W208" s="85"/>
    </row>
    <row r="209" spans="1:23" ht="21" customHeight="1">
      <c r="A209" s="84"/>
      <c r="B209" s="86"/>
      <c r="C209" s="87"/>
      <c r="D209" s="85"/>
      <c r="E209" s="86"/>
      <c r="F209" s="88"/>
      <c r="G209" s="86"/>
      <c r="H209" s="86"/>
      <c r="I209" s="85"/>
      <c r="J209" s="85"/>
      <c r="K209" s="85"/>
      <c r="L209" s="85"/>
      <c r="M209" s="85"/>
      <c r="N209" s="86"/>
      <c r="O209" s="84"/>
      <c r="P209" s="85"/>
      <c r="Q209" s="85"/>
      <c r="R209" s="85"/>
      <c r="S209" s="85"/>
      <c r="T209" s="85"/>
      <c r="U209" s="85"/>
      <c r="V209" s="85"/>
      <c r="W209" s="85"/>
    </row>
    <row r="210" spans="1:23" ht="21" customHeight="1">
      <c r="A210" s="84"/>
      <c r="B210" s="86"/>
      <c r="C210" s="87"/>
      <c r="D210" s="85"/>
      <c r="E210" s="86"/>
      <c r="F210" s="88"/>
      <c r="G210" s="86"/>
      <c r="H210" s="86"/>
      <c r="I210" s="85"/>
      <c r="J210" s="85"/>
      <c r="K210" s="85"/>
      <c r="L210" s="85"/>
      <c r="M210" s="85"/>
      <c r="N210" s="86"/>
      <c r="O210" s="84"/>
      <c r="P210" s="85"/>
      <c r="Q210" s="85"/>
      <c r="R210" s="85"/>
      <c r="S210" s="85"/>
      <c r="T210" s="85"/>
      <c r="U210" s="85"/>
      <c r="V210" s="85"/>
      <c r="W210" s="85"/>
    </row>
    <row r="211" spans="1:23" ht="21" customHeight="1">
      <c r="A211" s="84"/>
      <c r="B211" s="86"/>
      <c r="C211" s="87"/>
      <c r="D211" s="85"/>
      <c r="E211" s="86"/>
      <c r="F211" s="88"/>
      <c r="G211" s="86"/>
      <c r="H211" s="86"/>
      <c r="I211" s="85"/>
      <c r="J211" s="85"/>
      <c r="K211" s="85"/>
      <c r="L211" s="85"/>
      <c r="M211" s="85"/>
      <c r="N211" s="86"/>
      <c r="O211" s="84"/>
      <c r="P211" s="85"/>
      <c r="Q211" s="85"/>
      <c r="R211" s="85"/>
      <c r="S211" s="85"/>
      <c r="T211" s="85"/>
      <c r="U211" s="85"/>
      <c r="V211" s="85"/>
      <c r="W211" s="85"/>
    </row>
    <row r="212" spans="1:23" ht="21" customHeight="1">
      <c r="A212" s="84"/>
      <c r="B212" s="86"/>
      <c r="C212" s="87"/>
      <c r="D212" s="85"/>
      <c r="E212" s="86"/>
      <c r="F212" s="88"/>
      <c r="G212" s="86"/>
      <c r="H212" s="86"/>
      <c r="I212" s="85"/>
      <c r="J212" s="85"/>
      <c r="K212" s="85"/>
      <c r="L212" s="85"/>
      <c r="M212" s="85"/>
      <c r="N212" s="86"/>
      <c r="O212" s="84"/>
      <c r="P212" s="85"/>
      <c r="Q212" s="85"/>
      <c r="R212" s="85"/>
      <c r="S212" s="85"/>
      <c r="T212" s="85"/>
      <c r="U212" s="85"/>
      <c r="V212" s="85"/>
      <c r="W212" s="85"/>
    </row>
    <row r="213" spans="1:23" ht="21" customHeight="1">
      <c r="A213" s="84"/>
      <c r="B213" s="86"/>
      <c r="C213" s="87"/>
      <c r="D213" s="85"/>
      <c r="E213" s="86"/>
      <c r="F213" s="88"/>
      <c r="G213" s="86"/>
      <c r="H213" s="86"/>
      <c r="I213" s="85"/>
      <c r="J213" s="85"/>
      <c r="K213" s="85"/>
      <c r="L213" s="85"/>
      <c r="M213" s="85"/>
      <c r="N213" s="86"/>
      <c r="O213" s="84"/>
      <c r="P213" s="85"/>
      <c r="Q213" s="85"/>
      <c r="R213" s="85"/>
      <c r="S213" s="85"/>
      <c r="T213" s="85"/>
      <c r="U213" s="85"/>
      <c r="V213" s="85"/>
      <c r="W213" s="85"/>
    </row>
    <row r="214" spans="1:23" ht="21" customHeight="1">
      <c r="A214" s="84"/>
      <c r="B214" s="86"/>
      <c r="C214" s="87"/>
      <c r="D214" s="85"/>
      <c r="E214" s="86"/>
      <c r="F214" s="88"/>
      <c r="G214" s="86"/>
      <c r="H214" s="86"/>
      <c r="I214" s="85"/>
      <c r="J214" s="85"/>
      <c r="K214" s="85"/>
      <c r="L214" s="85"/>
      <c r="M214" s="85"/>
      <c r="N214" s="86"/>
      <c r="O214" s="84"/>
      <c r="P214" s="85"/>
      <c r="Q214" s="85"/>
      <c r="R214" s="85"/>
      <c r="S214" s="85"/>
      <c r="T214" s="85"/>
      <c r="U214" s="85"/>
      <c r="V214" s="85"/>
      <c r="W214" s="85"/>
    </row>
    <row r="215" spans="1:23" ht="21" customHeight="1">
      <c r="A215" s="84"/>
      <c r="B215" s="86"/>
      <c r="C215" s="87"/>
      <c r="D215" s="85"/>
      <c r="E215" s="86"/>
      <c r="F215" s="88"/>
      <c r="G215" s="86"/>
      <c r="H215" s="86"/>
      <c r="I215" s="85"/>
      <c r="J215" s="85"/>
      <c r="K215" s="85"/>
      <c r="L215" s="85"/>
      <c r="M215" s="85"/>
      <c r="N215" s="86"/>
      <c r="O215" s="84"/>
      <c r="P215" s="85"/>
      <c r="Q215" s="85"/>
      <c r="R215" s="85"/>
      <c r="S215" s="85"/>
      <c r="T215" s="85"/>
      <c r="U215" s="85"/>
      <c r="V215" s="85"/>
      <c r="W215" s="85"/>
    </row>
    <row r="216" spans="1:23" ht="21" customHeight="1">
      <c r="A216" s="84"/>
      <c r="B216" s="86"/>
      <c r="C216" s="87"/>
      <c r="D216" s="85"/>
      <c r="E216" s="86"/>
      <c r="F216" s="88"/>
      <c r="G216" s="86"/>
      <c r="H216" s="86"/>
      <c r="I216" s="85"/>
      <c r="J216" s="85"/>
      <c r="K216" s="85"/>
      <c r="L216" s="85"/>
      <c r="M216" s="85"/>
      <c r="N216" s="86"/>
      <c r="O216" s="84"/>
      <c r="P216" s="85"/>
      <c r="Q216" s="85"/>
      <c r="R216" s="85"/>
      <c r="S216" s="85"/>
      <c r="T216" s="85"/>
      <c r="U216" s="85"/>
      <c r="V216" s="85"/>
      <c r="W216" s="85"/>
    </row>
    <row r="217" spans="1:23" ht="21" customHeight="1">
      <c r="A217" s="84"/>
      <c r="B217" s="86"/>
      <c r="C217" s="87"/>
      <c r="D217" s="85"/>
      <c r="E217" s="86"/>
      <c r="F217" s="88"/>
      <c r="G217" s="86"/>
      <c r="H217" s="86"/>
      <c r="I217" s="85"/>
      <c r="J217" s="85"/>
      <c r="K217" s="85"/>
      <c r="L217" s="85"/>
      <c r="M217" s="85"/>
      <c r="N217" s="86"/>
      <c r="O217" s="84"/>
      <c r="P217" s="85"/>
      <c r="Q217" s="85"/>
      <c r="R217" s="85"/>
      <c r="S217" s="85"/>
      <c r="T217" s="85"/>
      <c r="U217" s="85"/>
      <c r="V217" s="85"/>
      <c r="W217" s="85"/>
    </row>
    <row r="218" spans="1:23" ht="21" customHeight="1">
      <c r="A218" s="84"/>
      <c r="B218" s="86"/>
      <c r="C218" s="87"/>
      <c r="D218" s="85"/>
      <c r="E218" s="86"/>
      <c r="F218" s="88"/>
      <c r="G218" s="86"/>
      <c r="H218" s="86"/>
      <c r="I218" s="85"/>
      <c r="J218" s="85"/>
      <c r="K218" s="85"/>
      <c r="L218" s="85"/>
      <c r="M218" s="85"/>
      <c r="N218" s="86"/>
      <c r="O218" s="84"/>
      <c r="P218" s="85"/>
      <c r="Q218" s="85"/>
      <c r="R218" s="85"/>
      <c r="S218" s="85"/>
      <c r="T218" s="85"/>
      <c r="U218" s="85"/>
      <c r="V218" s="85"/>
      <c r="W218" s="85"/>
    </row>
    <row r="219" spans="1:23" ht="21" customHeight="1">
      <c r="A219" s="84"/>
      <c r="B219" s="86"/>
      <c r="C219" s="87"/>
      <c r="D219" s="85"/>
      <c r="E219" s="86"/>
      <c r="F219" s="88"/>
      <c r="G219" s="86"/>
      <c r="H219" s="86"/>
      <c r="I219" s="85"/>
      <c r="J219" s="85"/>
      <c r="K219" s="85"/>
      <c r="L219" s="85"/>
      <c r="M219" s="85"/>
      <c r="N219" s="86"/>
      <c r="O219" s="84"/>
      <c r="P219" s="85"/>
      <c r="Q219" s="85"/>
      <c r="R219" s="85"/>
      <c r="S219" s="85"/>
      <c r="T219" s="85"/>
      <c r="U219" s="85"/>
      <c r="V219" s="85"/>
      <c r="W219" s="85"/>
    </row>
    <row r="220" spans="1:23" ht="21" customHeight="1">
      <c r="A220" s="84"/>
      <c r="B220" s="86"/>
      <c r="C220" s="87"/>
      <c r="D220" s="85"/>
      <c r="E220" s="86"/>
      <c r="F220" s="88"/>
      <c r="G220" s="86"/>
      <c r="H220" s="86"/>
      <c r="I220" s="85"/>
      <c r="J220" s="85"/>
      <c r="K220" s="85"/>
      <c r="L220" s="85"/>
      <c r="M220" s="85"/>
      <c r="N220" s="86"/>
      <c r="O220" s="84"/>
      <c r="P220" s="85"/>
      <c r="Q220" s="85"/>
      <c r="R220" s="85"/>
      <c r="S220" s="85"/>
      <c r="T220" s="85"/>
      <c r="U220" s="85"/>
      <c r="V220" s="85"/>
      <c r="W220" s="85"/>
    </row>
    <row r="221" spans="1:23" ht="21" customHeight="1">
      <c r="A221" s="84"/>
      <c r="B221" s="86"/>
      <c r="C221" s="87"/>
      <c r="D221" s="85"/>
      <c r="E221" s="86"/>
      <c r="F221" s="88"/>
      <c r="G221" s="86"/>
      <c r="H221" s="86"/>
      <c r="I221" s="85"/>
      <c r="J221" s="85"/>
      <c r="K221" s="85"/>
      <c r="L221" s="85"/>
      <c r="M221" s="85"/>
      <c r="N221" s="86"/>
      <c r="O221" s="84"/>
      <c r="P221" s="85"/>
      <c r="Q221" s="85"/>
      <c r="R221" s="85"/>
      <c r="S221" s="85"/>
      <c r="T221" s="85"/>
      <c r="U221" s="85"/>
      <c r="V221" s="85"/>
      <c r="W221" s="85"/>
    </row>
    <row r="222" spans="1:23" ht="21" customHeight="1">
      <c r="A222" s="84"/>
      <c r="B222" s="86"/>
      <c r="C222" s="87"/>
      <c r="D222" s="85"/>
      <c r="E222" s="86"/>
      <c r="F222" s="88"/>
      <c r="G222" s="86"/>
      <c r="H222" s="86"/>
      <c r="I222" s="85"/>
      <c r="J222" s="85"/>
      <c r="K222" s="85"/>
      <c r="L222" s="85"/>
      <c r="M222" s="85"/>
      <c r="N222" s="86"/>
      <c r="O222" s="84"/>
      <c r="P222" s="85"/>
      <c r="Q222" s="85"/>
      <c r="R222" s="85"/>
      <c r="S222" s="85"/>
      <c r="T222" s="85"/>
      <c r="U222" s="85"/>
      <c r="V222" s="85"/>
      <c r="W222" s="85"/>
    </row>
    <row r="223" spans="1:23" ht="21" customHeight="1">
      <c r="A223" s="84"/>
      <c r="B223" s="86"/>
      <c r="C223" s="87"/>
      <c r="D223" s="85"/>
      <c r="E223" s="86"/>
      <c r="F223" s="88"/>
      <c r="G223" s="86"/>
      <c r="H223" s="86"/>
      <c r="I223" s="85"/>
      <c r="J223" s="85"/>
      <c r="K223" s="85"/>
      <c r="L223" s="85"/>
      <c r="M223" s="85"/>
      <c r="N223" s="86"/>
      <c r="O223" s="84"/>
      <c r="P223" s="85"/>
      <c r="Q223" s="85"/>
      <c r="R223" s="85"/>
      <c r="S223" s="85"/>
      <c r="T223" s="85"/>
      <c r="U223" s="85"/>
      <c r="V223" s="85"/>
      <c r="W223" s="85"/>
    </row>
    <row r="224" spans="1:23" ht="21" customHeight="1">
      <c r="A224" s="84"/>
      <c r="B224" s="86"/>
      <c r="C224" s="87"/>
      <c r="D224" s="85"/>
      <c r="E224" s="86"/>
      <c r="F224" s="88"/>
      <c r="G224" s="86"/>
      <c r="H224" s="86"/>
      <c r="I224" s="85"/>
      <c r="J224" s="85"/>
      <c r="K224" s="85"/>
      <c r="L224" s="85"/>
      <c r="M224" s="85"/>
      <c r="N224" s="86"/>
      <c r="O224" s="84"/>
      <c r="P224" s="85"/>
      <c r="Q224" s="85"/>
      <c r="R224" s="85"/>
      <c r="S224" s="85"/>
      <c r="T224" s="85"/>
      <c r="U224" s="85"/>
      <c r="V224" s="85"/>
      <c r="W224" s="85"/>
    </row>
    <row r="225" spans="1:23" ht="21" customHeight="1">
      <c r="A225" s="84"/>
      <c r="B225" s="86"/>
      <c r="C225" s="87"/>
      <c r="D225" s="85"/>
      <c r="E225" s="86"/>
      <c r="F225" s="88"/>
      <c r="G225" s="86"/>
      <c r="H225" s="86"/>
      <c r="I225" s="85"/>
      <c r="J225" s="85"/>
      <c r="K225" s="85"/>
      <c r="L225" s="85"/>
      <c r="M225" s="85"/>
      <c r="N225" s="86"/>
      <c r="O225" s="84"/>
      <c r="P225" s="85"/>
      <c r="Q225" s="85"/>
      <c r="R225" s="85"/>
      <c r="S225" s="85"/>
      <c r="T225" s="85"/>
      <c r="U225" s="85"/>
      <c r="V225" s="85"/>
      <c r="W225" s="85"/>
    </row>
    <row r="226" spans="1:23" ht="21" customHeight="1">
      <c r="A226" s="84"/>
      <c r="B226" s="86"/>
      <c r="C226" s="87"/>
      <c r="D226" s="85"/>
      <c r="E226" s="86"/>
      <c r="F226" s="88"/>
      <c r="G226" s="86"/>
      <c r="H226" s="86"/>
      <c r="I226" s="85"/>
      <c r="J226" s="85"/>
      <c r="K226" s="85"/>
      <c r="L226" s="85"/>
      <c r="M226" s="85"/>
      <c r="N226" s="86"/>
      <c r="O226" s="84"/>
      <c r="P226" s="85"/>
      <c r="Q226" s="85"/>
      <c r="R226" s="85"/>
      <c r="S226" s="85"/>
      <c r="T226" s="85"/>
      <c r="U226" s="85"/>
      <c r="V226" s="85"/>
      <c r="W226" s="85"/>
    </row>
    <row r="227" spans="1:23" ht="21" customHeight="1">
      <c r="A227" s="84"/>
      <c r="B227" s="86"/>
      <c r="C227" s="87"/>
      <c r="D227" s="85"/>
      <c r="E227" s="86"/>
      <c r="F227" s="88"/>
      <c r="G227" s="86"/>
      <c r="H227" s="86"/>
      <c r="I227" s="85"/>
      <c r="J227" s="85"/>
      <c r="K227" s="85"/>
      <c r="L227" s="85"/>
      <c r="M227" s="85"/>
      <c r="N227" s="86"/>
      <c r="O227" s="84"/>
      <c r="P227" s="85"/>
      <c r="Q227" s="85"/>
      <c r="R227" s="85"/>
      <c r="S227" s="85"/>
      <c r="T227" s="85"/>
      <c r="U227" s="85"/>
      <c r="V227" s="85"/>
      <c r="W227" s="85"/>
    </row>
    <row r="228" spans="1:23" ht="21" customHeight="1">
      <c r="A228" s="84"/>
      <c r="B228" s="86"/>
      <c r="C228" s="87"/>
      <c r="D228" s="85"/>
      <c r="E228" s="86"/>
      <c r="F228" s="88"/>
      <c r="G228" s="86"/>
      <c r="H228" s="86"/>
      <c r="I228" s="85"/>
      <c r="J228" s="85"/>
      <c r="K228" s="85"/>
      <c r="L228" s="85"/>
      <c r="M228" s="85"/>
      <c r="N228" s="86"/>
      <c r="O228" s="84"/>
      <c r="P228" s="85"/>
      <c r="Q228" s="85"/>
      <c r="R228" s="85"/>
      <c r="S228" s="85"/>
      <c r="T228" s="85"/>
      <c r="U228" s="85"/>
      <c r="V228" s="85"/>
      <c r="W228" s="85"/>
    </row>
    <row r="229" spans="1:23" ht="21" customHeight="1">
      <c r="A229" s="84"/>
      <c r="B229" s="86"/>
      <c r="C229" s="87"/>
      <c r="D229" s="85"/>
      <c r="E229" s="86"/>
      <c r="F229" s="88"/>
      <c r="G229" s="86"/>
      <c r="H229" s="86"/>
      <c r="I229" s="85"/>
      <c r="J229" s="85"/>
      <c r="K229" s="85"/>
      <c r="L229" s="85"/>
      <c r="M229" s="85"/>
      <c r="N229" s="86"/>
      <c r="O229" s="84"/>
      <c r="P229" s="85"/>
      <c r="Q229" s="85"/>
      <c r="R229" s="85"/>
      <c r="S229" s="85"/>
      <c r="T229" s="85"/>
      <c r="U229" s="85"/>
      <c r="V229" s="85"/>
      <c r="W229" s="85"/>
    </row>
    <row r="230" spans="1:23" ht="21" customHeight="1">
      <c r="A230" s="84"/>
      <c r="B230" s="86"/>
      <c r="C230" s="87"/>
      <c r="D230" s="85"/>
      <c r="E230" s="86"/>
      <c r="F230" s="88"/>
      <c r="G230" s="86"/>
      <c r="H230" s="86"/>
      <c r="I230" s="85"/>
      <c r="J230" s="85"/>
      <c r="K230" s="85"/>
      <c r="L230" s="85"/>
      <c r="M230" s="85"/>
      <c r="N230" s="86"/>
      <c r="O230" s="84"/>
      <c r="P230" s="85"/>
      <c r="Q230" s="85"/>
      <c r="R230" s="85"/>
      <c r="S230" s="85"/>
      <c r="T230" s="85"/>
      <c r="U230" s="85"/>
      <c r="V230" s="85"/>
      <c r="W230" s="85"/>
    </row>
    <row r="231" spans="1:23" ht="21" customHeight="1">
      <c r="A231" s="84"/>
      <c r="B231" s="86"/>
      <c r="C231" s="87"/>
      <c r="D231" s="85"/>
      <c r="E231" s="86"/>
      <c r="F231" s="88"/>
      <c r="G231" s="86"/>
      <c r="H231" s="86"/>
      <c r="I231" s="85"/>
      <c r="J231" s="85"/>
      <c r="K231" s="85"/>
      <c r="L231" s="85"/>
      <c r="M231" s="85"/>
      <c r="N231" s="86"/>
      <c r="O231" s="84"/>
      <c r="P231" s="85"/>
      <c r="Q231" s="85"/>
      <c r="R231" s="85"/>
      <c r="S231" s="85"/>
      <c r="T231" s="85"/>
      <c r="U231" s="85"/>
      <c r="V231" s="85"/>
      <c r="W231" s="85"/>
    </row>
    <row r="232" spans="1:23" ht="21" customHeight="1">
      <c r="A232" s="84"/>
      <c r="B232" s="86"/>
      <c r="C232" s="87"/>
      <c r="D232" s="85"/>
      <c r="E232" s="86"/>
      <c r="F232" s="88"/>
      <c r="G232" s="86"/>
      <c r="H232" s="86"/>
      <c r="I232" s="85"/>
      <c r="J232" s="85"/>
      <c r="K232" s="85"/>
      <c r="L232" s="85"/>
      <c r="M232" s="85"/>
      <c r="N232" s="86"/>
      <c r="O232" s="84"/>
      <c r="P232" s="85"/>
      <c r="Q232" s="85"/>
      <c r="R232" s="85"/>
      <c r="S232" s="85"/>
      <c r="T232" s="85"/>
      <c r="U232" s="85"/>
      <c r="V232" s="85"/>
      <c r="W232" s="85"/>
    </row>
    <row r="233" spans="1:23" ht="21" customHeight="1">
      <c r="A233" s="84"/>
      <c r="B233" s="86"/>
      <c r="C233" s="87"/>
      <c r="D233" s="85"/>
      <c r="E233" s="86"/>
      <c r="F233" s="88"/>
      <c r="G233" s="86"/>
      <c r="H233" s="86"/>
      <c r="I233" s="85"/>
      <c r="J233" s="85"/>
      <c r="K233" s="85"/>
      <c r="L233" s="85"/>
      <c r="M233" s="85"/>
      <c r="N233" s="86"/>
      <c r="O233" s="84"/>
      <c r="P233" s="85"/>
      <c r="Q233" s="85"/>
      <c r="R233" s="85"/>
      <c r="S233" s="85"/>
      <c r="T233" s="85"/>
      <c r="U233" s="85"/>
      <c r="V233" s="85"/>
      <c r="W233" s="85"/>
    </row>
    <row r="234" spans="1:23" ht="21" customHeight="1">
      <c r="A234" s="84"/>
      <c r="B234" s="86"/>
      <c r="C234" s="87"/>
      <c r="D234" s="85"/>
      <c r="E234" s="86"/>
      <c r="F234" s="88"/>
      <c r="G234" s="86"/>
      <c r="H234" s="86"/>
      <c r="I234" s="85"/>
      <c r="J234" s="85"/>
      <c r="K234" s="85"/>
      <c r="L234" s="85"/>
      <c r="M234" s="85"/>
      <c r="N234" s="86"/>
      <c r="O234" s="84"/>
      <c r="P234" s="85"/>
      <c r="Q234" s="85"/>
      <c r="R234" s="85"/>
      <c r="S234" s="85"/>
      <c r="T234" s="85"/>
      <c r="U234" s="85"/>
      <c r="V234" s="85"/>
      <c r="W234" s="85"/>
    </row>
    <row r="235" spans="1:23" ht="21" customHeight="1">
      <c r="A235" s="84"/>
      <c r="B235" s="86"/>
      <c r="C235" s="87"/>
      <c r="D235" s="85"/>
      <c r="E235" s="86"/>
      <c r="F235" s="88"/>
      <c r="G235" s="86"/>
      <c r="H235" s="86"/>
      <c r="I235" s="85"/>
      <c r="J235" s="85"/>
      <c r="K235" s="85"/>
      <c r="L235" s="85"/>
      <c r="M235" s="85"/>
      <c r="N235" s="86"/>
      <c r="O235" s="84"/>
      <c r="P235" s="85"/>
      <c r="Q235" s="85"/>
      <c r="R235" s="85"/>
      <c r="S235" s="85"/>
      <c r="T235" s="85"/>
      <c r="U235" s="85"/>
      <c r="V235" s="85"/>
      <c r="W235" s="85"/>
    </row>
    <row r="236" spans="1:23" ht="21" customHeight="1">
      <c r="A236" s="84"/>
      <c r="B236" s="86"/>
      <c r="C236" s="87"/>
      <c r="D236" s="85"/>
      <c r="E236" s="86"/>
      <c r="F236" s="88"/>
      <c r="G236" s="86"/>
      <c r="H236" s="86"/>
      <c r="I236" s="85"/>
      <c r="J236" s="85"/>
      <c r="K236" s="85"/>
      <c r="L236" s="85"/>
      <c r="M236" s="85"/>
      <c r="N236" s="86"/>
      <c r="O236" s="84"/>
      <c r="P236" s="85"/>
      <c r="Q236" s="85"/>
      <c r="R236" s="85"/>
      <c r="S236" s="85"/>
      <c r="T236" s="85"/>
      <c r="U236" s="85"/>
      <c r="V236" s="85"/>
      <c r="W236" s="85"/>
    </row>
    <row r="237" spans="1:23" ht="21" customHeight="1">
      <c r="A237" s="84"/>
      <c r="B237" s="86"/>
      <c r="C237" s="87"/>
      <c r="D237" s="85"/>
      <c r="E237" s="86"/>
      <c r="F237" s="88"/>
      <c r="G237" s="86"/>
      <c r="H237" s="86"/>
      <c r="I237" s="85"/>
      <c r="J237" s="85"/>
      <c r="K237" s="85"/>
      <c r="L237" s="85"/>
      <c r="M237" s="85"/>
      <c r="N237" s="86"/>
      <c r="O237" s="84"/>
      <c r="P237" s="85"/>
      <c r="Q237" s="85"/>
      <c r="R237" s="85"/>
      <c r="S237" s="85"/>
      <c r="T237" s="85"/>
      <c r="U237" s="85"/>
      <c r="V237" s="85"/>
      <c r="W237" s="85"/>
    </row>
    <row r="238" spans="1:23" ht="21" customHeight="1">
      <c r="A238" s="84"/>
      <c r="B238" s="86"/>
      <c r="C238" s="87"/>
      <c r="D238" s="85"/>
      <c r="E238" s="86"/>
      <c r="F238" s="88"/>
      <c r="G238" s="86"/>
      <c r="H238" s="86"/>
      <c r="I238" s="85"/>
      <c r="J238" s="85"/>
      <c r="K238" s="85"/>
      <c r="L238" s="85"/>
      <c r="M238" s="85"/>
      <c r="N238" s="86"/>
      <c r="O238" s="84"/>
      <c r="P238" s="85"/>
      <c r="Q238" s="85"/>
      <c r="R238" s="85"/>
      <c r="S238" s="85"/>
      <c r="T238" s="85"/>
      <c r="U238" s="85"/>
      <c r="V238" s="85"/>
      <c r="W238" s="85"/>
    </row>
    <row r="239" spans="1:23" ht="21" customHeight="1">
      <c r="A239" s="84"/>
      <c r="B239" s="86"/>
      <c r="C239" s="87"/>
      <c r="D239" s="85"/>
      <c r="E239" s="86"/>
      <c r="F239" s="88"/>
      <c r="G239" s="86"/>
      <c r="H239" s="86"/>
      <c r="I239" s="85"/>
      <c r="J239" s="85"/>
      <c r="K239" s="85"/>
      <c r="L239" s="85"/>
      <c r="M239" s="85"/>
      <c r="N239" s="86"/>
      <c r="O239" s="84"/>
      <c r="P239" s="85"/>
      <c r="Q239" s="85"/>
      <c r="R239" s="85"/>
      <c r="S239" s="85"/>
      <c r="T239" s="85"/>
      <c r="U239" s="85"/>
      <c r="V239" s="85"/>
      <c r="W239" s="85"/>
    </row>
    <row r="240" spans="1:23" ht="21" customHeight="1">
      <c r="A240" s="84"/>
      <c r="B240" s="86"/>
      <c r="C240" s="87"/>
      <c r="D240" s="85"/>
      <c r="E240" s="86"/>
      <c r="F240" s="88"/>
      <c r="G240" s="86"/>
      <c r="H240" s="86"/>
      <c r="I240" s="85"/>
      <c r="J240" s="85"/>
      <c r="K240" s="85"/>
      <c r="L240" s="85"/>
      <c r="M240" s="85"/>
      <c r="N240" s="86"/>
      <c r="O240" s="84"/>
      <c r="P240" s="85"/>
      <c r="Q240" s="85"/>
      <c r="R240" s="85"/>
      <c r="S240" s="85"/>
      <c r="T240" s="85"/>
      <c r="U240" s="85"/>
      <c r="V240" s="85"/>
      <c r="W240" s="85"/>
    </row>
    <row r="241" spans="1:23" ht="21" customHeight="1">
      <c r="A241" s="84"/>
      <c r="B241" s="86"/>
      <c r="C241" s="87"/>
      <c r="D241" s="85"/>
      <c r="E241" s="86"/>
      <c r="F241" s="88"/>
      <c r="G241" s="86"/>
      <c r="H241" s="86"/>
      <c r="I241" s="85"/>
      <c r="J241" s="85"/>
      <c r="K241" s="85"/>
      <c r="L241" s="85"/>
      <c r="M241" s="85"/>
      <c r="N241" s="86"/>
      <c r="O241" s="84"/>
      <c r="P241" s="85"/>
      <c r="Q241" s="85"/>
      <c r="R241" s="85"/>
      <c r="S241" s="85"/>
      <c r="T241" s="85"/>
      <c r="U241" s="85"/>
      <c r="V241" s="85"/>
      <c r="W241" s="85"/>
    </row>
    <row r="242" spans="1:23" ht="21" customHeight="1">
      <c r="A242" s="84"/>
      <c r="B242" s="86"/>
      <c r="C242" s="87"/>
      <c r="D242" s="85"/>
      <c r="E242" s="86"/>
      <c r="F242" s="88"/>
      <c r="G242" s="86"/>
      <c r="H242" s="86"/>
      <c r="I242" s="85"/>
      <c r="J242" s="85"/>
      <c r="K242" s="85"/>
      <c r="L242" s="85"/>
      <c r="M242" s="85"/>
      <c r="N242" s="86"/>
      <c r="O242" s="84"/>
      <c r="P242" s="85"/>
      <c r="Q242" s="85"/>
      <c r="R242" s="85"/>
      <c r="S242" s="85"/>
      <c r="T242" s="85"/>
      <c r="U242" s="85"/>
      <c r="V242" s="85"/>
      <c r="W242" s="85"/>
    </row>
    <row r="243" spans="1:23" ht="21" customHeight="1">
      <c r="A243" s="84"/>
      <c r="B243" s="86"/>
      <c r="C243" s="87"/>
      <c r="D243" s="85"/>
      <c r="E243" s="86"/>
      <c r="F243" s="88"/>
      <c r="G243" s="86"/>
      <c r="H243" s="86"/>
      <c r="I243" s="85"/>
      <c r="J243" s="85"/>
      <c r="K243" s="85"/>
      <c r="L243" s="85"/>
      <c r="M243" s="85"/>
      <c r="N243" s="86"/>
      <c r="O243" s="84"/>
      <c r="P243" s="85"/>
      <c r="Q243" s="85"/>
      <c r="R243" s="85"/>
      <c r="S243" s="85"/>
      <c r="T243" s="85"/>
      <c r="U243" s="85"/>
      <c r="V243" s="85"/>
      <c r="W243" s="85"/>
    </row>
    <row r="244" spans="1:23" ht="21" customHeight="1">
      <c r="A244" s="84"/>
      <c r="B244" s="86"/>
      <c r="C244" s="87"/>
      <c r="D244" s="85"/>
      <c r="E244" s="86"/>
      <c r="F244" s="88"/>
      <c r="G244" s="86"/>
      <c r="H244" s="86"/>
      <c r="I244" s="85"/>
      <c r="J244" s="85"/>
      <c r="K244" s="85"/>
      <c r="L244" s="85"/>
      <c r="M244" s="85"/>
      <c r="N244" s="86"/>
      <c r="O244" s="84"/>
      <c r="P244" s="85"/>
      <c r="Q244" s="85"/>
      <c r="R244" s="85"/>
      <c r="S244" s="85"/>
      <c r="T244" s="85"/>
      <c r="U244" s="85"/>
      <c r="V244" s="85"/>
      <c r="W244" s="85"/>
    </row>
    <row r="245" spans="1:23" ht="21" customHeight="1">
      <c r="A245" s="84"/>
      <c r="B245" s="86"/>
      <c r="C245" s="87"/>
      <c r="D245" s="85"/>
      <c r="E245" s="86"/>
      <c r="F245" s="88"/>
      <c r="G245" s="86"/>
      <c r="H245" s="86"/>
      <c r="I245" s="85"/>
      <c r="J245" s="85"/>
      <c r="K245" s="85"/>
      <c r="L245" s="85"/>
      <c r="M245" s="85"/>
      <c r="N245" s="86"/>
      <c r="O245" s="84"/>
      <c r="P245" s="85"/>
      <c r="Q245" s="85"/>
      <c r="R245" s="85"/>
      <c r="S245" s="85"/>
      <c r="T245" s="85"/>
      <c r="U245" s="85"/>
      <c r="V245" s="85"/>
      <c r="W245" s="85"/>
    </row>
    <row r="246" spans="1:23" ht="21" customHeight="1">
      <c r="A246" s="84"/>
      <c r="B246" s="86"/>
      <c r="C246" s="87"/>
      <c r="D246" s="85"/>
      <c r="E246" s="86"/>
      <c r="F246" s="88"/>
      <c r="G246" s="86"/>
      <c r="H246" s="86"/>
      <c r="I246" s="85"/>
      <c r="J246" s="85"/>
      <c r="K246" s="85"/>
      <c r="L246" s="85"/>
      <c r="M246" s="85"/>
      <c r="N246" s="86"/>
      <c r="O246" s="84"/>
      <c r="P246" s="85"/>
      <c r="Q246" s="85"/>
      <c r="R246" s="85"/>
      <c r="S246" s="85"/>
      <c r="T246" s="85"/>
      <c r="U246" s="85"/>
      <c r="V246" s="85"/>
      <c r="W246" s="85"/>
    </row>
    <row r="247" spans="1:23" ht="21" customHeight="1">
      <c r="A247" s="84"/>
      <c r="B247" s="86"/>
      <c r="C247" s="87"/>
      <c r="D247" s="85"/>
      <c r="E247" s="86"/>
      <c r="F247" s="88"/>
      <c r="G247" s="86"/>
      <c r="H247" s="86"/>
      <c r="I247" s="85"/>
      <c r="J247" s="85"/>
      <c r="K247" s="85"/>
      <c r="L247" s="85"/>
      <c r="M247" s="85"/>
      <c r="N247" s="86"/>
      <c r="O247" s="84"/>
      <c r="P247" s="85"/>
      <c r="Q247" s="85"/>
      <c r="R247" s="85"/>
      <c r="S247" s="85"/>
      <c r="T247" s="85"/>
      <c r="U247" s="85"/>
      <c r="V247" s="85"/>
      <c r="W247" s="85"/>
    </row>
    <row r="248" spans="1:23" ht="21" customHeight="1">
      <c r="A248" s="84"/>
      <c r="B248" s="86"/>
      <c r="C248" s="87"/>
      <c r="D248" s="85"/>
      <c r="E248" s="86"/>
      <c r="F248" s="88"/>
      <c r="G248" s="86"/>
      <c r="H248" s="86"/>
      <c r="I248" s="85"/>
      <c r="J248" s="85"/>
      <c r="K248" s="85"/>
      <c r="L248" s="85"/>
      <c r="M248" s="85"/>
      <c r="N248" s="86"/>
      <c r="O248" s="84"/>
      <c r="P248" s="85"/>
      <c r="Q248" s="85"/>
      <c r="R248" s="85"/>
      <c r="S248" s="85"/>
      <c r="T248" s="85"/>
      <c r="U248" s="85"/>
      <c r="V248" s="85"/>
      <c r="W248" s="85"/>
    </row>
    <row r="249" spans="1:23" ht="21" customHeight="1">
      <c r="A249" s="84"/>
      <c r="B249" s="86"/>
      <c r="C249" s="87"/>
      <c r="D249" s="85"/>
      <c r="E249" s="86"/>
      <c r="F249" s="88"/>
      <c r="G249" s="86"/>
      <c r="H249" s="86"/>
      <c r="I249" s="85"/>
      <c r="J249" s="85"/>
      <c r="K249" s="85"/>
      <c r="L249" s="85"/>
      <c r="M249" s="85"/>
      <c r="N249" s="86"/>
      <c r="O249" s="84"/>
      <c r="P249" s="85"/>
      <c r="Q249" s="85"/>
      <c r="R249" s="85"/>
      <c r="S249" s="85"/>
      <c r="T249" s="85"/>
      <c r="U249" s="85"/>
      <c r="V249" s="85"/>
      <c r="W249" s="85"/>
    </row>
    <row r="250" spans="1:23" ht="21" customHeight="1">
      <c r="A250" s="84"/>
      <c r="B250" s="86"/>
      <c r="C250" s="87"/>
      <c r="D250" s="85"/>
      <c r="E250" s="86"/>
      <c r="F250" s="88"/>
      <c r="G250" s="86"/>
      <c r="H250" s="86"/>
      <c r="I250" s="85"/>
      <c r="J250" s="85"/>
      <c r="K250" s="85"/>
      <c r="L250" s="85"/>
      <c r="M250" s="85"/>
      <c r="N250" s="86"/>
      <c r="O250" s="84"/>
      <c r="P250" s="85"/>
      <c r="Q250" s="85"/>
      <c r="R250" s="85"/>
      <c r="S250" s="85"/>
      <c r="T250" s="85"/>
      <c r="U250" s="85"/>
      <c r="V250" s="85"/>
      <c r="W250" s="85"/>
    </row>
    <row r="251" spans="1:23" ht="21" customHeight="1">
      <c r="A251" s="84"/>
      <c r="B251" s="86"/>
      <c r="C251" s="87"/>
      <c r="D251" s="85"/>
      <c r="E251" s="86"/>
      <c r="F251" s="88"/>
      <c r="G251" s="86"/>
      <c r="H251" s="86"/>
      <c r="I251" s="85"/>
      <c r="J251" s="85"/>
      <c r="K251" s="85"/>
      <c r="L251" s="85"/>
      <c r="M251" s="85"/>
      <c r="N251" s="86"/>
      <c r="O251" s="84"/>
      <c r="P251" s="85"/>
      <c r="Q251" s="85"/>
      <c r="R251" s="85"/>
      <c r="S251" s="85"/>
      <c r="T251" s="85"/>
      <c r="U251" s="85"/>
      <c r="V251" s="85"/>
      <c r="W251" s="85"/>
    </row>
    <row r="252" spans="1:23" ht="21" customHeight="1">
      <c r="A252" s="84"/>
      <c r="B252" s="86"/>
      <c r="C252" s="87"/>
      <c r="D252" s="85"/>
      <c r="E252" s="86"/>
      <c r="F252" s="88"/>
      <c r="G252" s="86"/>
      <c r="H252" s="86"/>
      <c r="I252" s="85"/>
      <c r="J252" s="85"/>
      <c r="K252" s="85"/>
      <c r="L252" s="85"/>
      <c r="M252" s="85"/>
      <c r="N252" s="86"/>
      <c r="O252" s="84"/>
      <c r="P252" s="85"/>
      <c r="Q252" s="85"/>
      <c r="R252" s="85"/>
      <c r="S252" s="85"/>
      <c r="T252" s="85"/>
      <c r="U252" s="85"/>
      <c r="V252" s="85"/>
      <c r="W252" s="85"/>
    </row>
    <row r="253" spans="1:23" ht="21" customHeight="1">
      <c r="A253" s="84"/>
      <c r="B253" s="86"/>
      <c r="C253" s="87"/>
      <c r="D253" s="85"/>
      <c r="E253" s="86"/>
      <c r="F253" s="88"/>
      <c r="G253" s="86"/>
      <c r="H253" s="86"/>
      <c r="I253" s="85"/>
      <c r="J253" s="85"/>
      <c r="K253" s="85"/>
      <c r="L253" s="85"/>
      <c r="M253" s="85"/>
      <c r="N253" s="86"/>
      <c r="O253" s="84"/>
      <c r="P253" s="85"/>
      <c r="Q253" s="85"/>
      <c r="R253" s="85"/>
      <c r="S253" s="85"/>
      <c r="T253" s="85"/>
      <c r="U253" s="85"/>
      <c r="V253" s="85"/>
      <c r="W253" s="85"/>
    </row>
    <row r="254" spans="1:23" ht="21" customHeight="1">
      <c r="A254" s="84"/>
      <c r="B254" s="86"/>
      <c r="C254" s="87"/>
      <c r="D254" s="85"/>
      <c r="E254" s="86"/>
      <c r="F254" s="88"/>
      <c r="G254" s="86"/>
      <c r="H254" s="86"/>
      <c r="I254" s="85"/>
      <c r="J254" s="85"/>
      <c r="K254" s="85"/>
      <c r="L254" s="85"/>
      <c r="M254" s="85"/>
      <c r="N254" s="86"/>
      <c r="O254" s="84"/>
      <c r="P254" s="85"/>
      <c r="Q254" s="85"/>
      <c r="R254" s="85"/>
      <c r="S254" s="85"/>
      <c r="T254" s="85"/>
      <c r="U254" s="85"/>
      <c r="V254" s="85"/>
      <c r="W254" s="85"/>
    </row>
    <row r="255" spans="1:23" ht="21" customHeight="1">
      <c r="A255" s="84"/>
      <c r="B255" s="86"/>
      <c r="C255" s="87"/>
      <c r="D255" s="85"/>
      <c r="E255" s="86"/>
      <c r="F255" s="88"/>
      <c r="G255" s="86"/>
      <c r="H255" s="86"/>
      <c r="I255" s="85"/>
      <c r="J255" s="85"/>
      <c r="K255" s="85"/>
      <c r="L255" s="85"/>
      <c r="M255" s="85"/>
      <c r="N255" s="86"/>
      <c r="O255" s="84"/>
      <c r="P255" s="85"/>
      <c r="Q255" s="85"/>
      <c r="R255" s="85"/>
      <c r="S255" s="85"/>
      <c r="T255" s="85"/>
      <c r="U255" s="85"/>
      <c r="V255" s="85"/>
      <c r="W255" s="85"/>
    </row>
    <row r="256" spans="1:23" ht="21" customHeight="1">
      <c r="A256" s="84"/>
      <c r="B256" s="86"/>
      <c r="C256" s="87"/>
      <c r="D256" s="85"/>
      <c r="E256" s="86"/>
      <c r="F256" s="88"/>
      <c r="G256" s="86"/>
      <c r="H256" s="86"/>
      <c r="I256" s="85"/>
      <c r="J256" s="85"/>
      <c r="K256" s="85"/>
      <c r="L256" s="85"/>
      <c r="M256" s="85"/>
      <c r="N256" s="86"/>
      <c r="O256" s="84"/>
      <c r="P256" s="85"/>
      <c r="Q256" s="85"/>
      <c r="R256" s="85"/>
      <c r="S256" s="85"/>
      <c r="T256" s="85"/>
      <c r="U256" s="85"/>
      <c r="V256" s="85"/>
      <c r="W256" s="85"/>
    </row>
    <row r="257" spans="1:23" ht="21" customHeight="1">
      <c r="A257" s="84"/>
      <c r="B257" s="86"/>
      <c r="C257" s="87"/>
      <c r="D257" s="85"/>
      <c r="E257" s="86"/>
      <c r="F257" s="88"/>
      <c r="G257" s="86"/>
      <c r="H257" s="86"/>
      <c r="I257" s="85"/>
      <c r="J257" s="85"/>
      <c r="K257" s="85"/>
      <c r="L257" s="85"/>
      <c r="M257" s="85"/>
      <c r="N257" s="86"/>
      <c r="O257" s="84"/>
      <c r="P257" s="85"/>
      <c r="Q257" s="85"/>
      <c r="R257" s="85"/>
      <c r="S257" s="85"/>
      <c r="T257" s="85"/>
      <c r="U257" s="85"/>
      <c r="V257" s="85"/>
      <c r="W257" s="85"/>
    </row>
    <row r="258" spans="1:23" ht="21" customHeight="1">
      <c r="A258" s="84"/>
      <c r="B258" s="86"/>
      <c r="C258" s="87"/>
      <c r="D258" s="85"/>
      <c r="E258" s="86"/>
      <c r="F258" s="88"/>
      <c r="G258" s="86"/>
      <c r="H258" s="86"/>
      <c r="I258" s="85"/>
      <c r="J258" s="85"/>
      <c r="K258" s="85"/>
      <c r="L258" s="85"/>
      <c r="M258" s="85"/>
      <c r="N258" s="86"/>
      <c r="O258" s="84"/>
      <c r="P258" s="85"/>
      <c r="Q258" s="85"/>
      <c r="R258" s="85"/>
      <c r="S258" s="85"/>
      <c r="T258" s="85"/>
      <c r="U258" s="85"/>
      <c r="V258" s="85"/>
      <c r="W258" s="85"/>
    </row>
    <row r="259" spans="1:23" ht="21" customHeight="1">
      <c r="A259" s="84"/>
      <c r="B259" s="86"/>
      <c r="C259" s="87"/>
      <c r="D259" s="85"/>
      <c r="E259" s="86"/>
      <c r="F259" s="88"/>
      <c r="G259" s="86"/>
      <c r="H259" s="86"/>
      <c r="I259" s="85"/>
      <c r="J259" s="85"/>
      <c r="K259" s="85"/>
      <c r="L259" s="85"/>
      <c r="M259" s="85"/>
      <c r="N259" s="86"/>
      <c r="O259" s="84"/>
      <c r="P259" s="85"/>
      <c r="Q259" s="85"/>
      <c r="R259" s="85"/>
      <c r="S259" s="85"/>
      <c r="T259" s="85"/>
      <c r="U259" s="85"/>
      <c r="V259" s="85"/>
      <c r="W259" s="85"/>
    </row>
    <row r="260" spans="1:23" ht="21" customHeight="1">
      <c r="A260" s="84"/>
      <c r="B260" s="86"/>
      <c r="C260" s="87"/>
      <c r="D260" s="85"/>
      <c r="E260" s="86"/>
      <c r="F260" s="88"/>
      <c r="G260" s="86"/>
      <c r="H260" s="86"/>
      <c r="I260" s="85"/>
      <c r="J260" s="85"/>
      <c r="K260" s="85"/>
      <c r="L260" s="85"/>
      <c r="M260" s="85"/>
      <c r="N260" s="86"/>
      <c r="O260" s="84"/>
      <c r="P260" s="85"/>
      <c r="Q260" s="85"/>
      <c r="R260" s="85"/>
      <c r="S260" s="85"/>
      <c r="T260" s="85"/>
      <c r="U260" s="85"/>
      <c r="V260" s="85"/>
      <c r="W260" s="85"/>
    </row>
    <row r="261" spans="1:23" ht="21" customHeight="1">
      <c r="A261" s="84"/>
      <c r="B261" s="86"/>
      <c r="C261" s="87"/>
      <c r="D261" s="85"/>
      <c r="E261" s="86"/>
      <c r="F261" s="88"/>
      <c r="G261" s="86"/>
      <c r="H261" s="86"/>
      <c r="I261" s="85"/>
      <c r="J261" s="85"/>
      <c r="K261" s="85"/>
      <c r="L261" s="85"/>
      <c r="M261" s="85"/>
      <c r="N261" s="86"/>
      <c r="O261" s="84"/>
      <c r="P261" s="85"/>
      <c r="Q261" s="85"/>
      <c r="R261" s="85"/>
      <c r="S261" s="85"/>
      <c r="T261" s="85"/>
      <c r="U261" s="85"/>
      <c r="V261" s="85"/>
      <c r="W261" s="85"/>
    </row>
    <row r="262" spans="1:23" ht="21" customHeight="1">
      <c r="A262" s="84"/>
      <c r="B262" s="86"/>
      <c r="C262" s="87"/>
      <c r="D262" s="85"/>
      <c r="E262" s="86"/>
      <c r="F262" s="88"/>
      <c r="G262" s="86"/>
      <c r="H262" s="86"/>
      <c r="I262" s="85"/>
      <c r="J262" s="85"/>
      <c r="K262" s="85"/>
      <c r="L262" s="85"/>
      <c r="M262" s="85"/>
      <c r="N262" s="86"/>
      <c r="O262" s="84"/>
      <c r="P262" s="85"/>
      <c r="Q262" s="85"/>
      <c r="R262" s="85"/>
      <c r="S262" s="85"/>
      <c r="T262" s="85"/>
      <c r="U262" s="85"/>
      <c r="V262" s="85"/>
      <c r="W262" s="85"/>
    </row>
    <row r="263" spans="1:23" ht="21" customHeight="1">
      <c r="A263" s="84"/>
      <c r="B263" s="86"/>
      <c r="C263" s="87"/>
      <c r="D263" s="85"/>
      <c r="E263" s="86"/>
      <c r="F263" s="88"/>
      <c r="G263" s="86"/>
      <c r="H263" s="86"/>
      <c r="I263" s="85"/>
      <c r="J263" s="85"/>
      <c r="K263" s="85"/>
      <c r="L263" s="85"/>
      <c r="M263" s="85"/>
      <c r="N263" s="86"/>
      <c r="O263" s="84"/>
      <c r="P263" s="85"/>
      <c r="Q263" s="85"/>
      <c r="R263" s="85"/>
      <c r="S263" s="85"/>
      <c r="T263" s="85"/>
      <c r="U263" s="85"/>
      <c r="V263" s="85"/>
      <c r="W263" s="85"/>
    </row>
    <row r="264" spans="1:23" ht="21" customHeight="1">
      <c r="A264" s="84"/>
      <c r="B264" s="86"/>
      <c r="C264" s="87"/>
      <c r="D264" s="85"/>
      <c r="E264" s="86"/>
      <c r="F264" s="88"/>
      <c r="G264" s="86"/>
      <c r="H264" s="86"/>
      <c r="I264" s="85"/>
      <c r="J264" s="85"/>
      <c r="K264" s="85"/>
      <c r="L264" s="85"/>
      <c r="M264" s="85"/>
      <c r="N264" s="86"/>
      <c r="O264" s="84"/>
      <c r="P264" s="85"/>
      <c r="Q264" s="85"/>
      <c r="R264" s="85"/>
      <c r="S264" s="85"/>
      <c r="T264" s="85"/>
      <c r="U264" s="85"/>
      <c r="V264" s="85"/>
      <c r="W264" s="85"/>
    </row>
    <row r="265" spans="1:23" ht="21" customHeight="1">
      <c r="A265" s="84"/>
      <c r="B265" s="86"/>
      <c r="C265" s="87"/>
      <c r="D265" s="85"/>
      <c r="E265" s="86"/>
      <c r="F265" s="88"/>
      <c r="G265" s="86"/>
      <c r="H265" s="86"/>
      <c r="I265" s="85"/>
      <c r="J265" s="85"/>
      <c r="K265" s="85"/>
      <c r="L265" s="85"/>
      <c r="M265" s="85"/>
      <c r="N265" s="86"/>
      <c r="O265" s="84"/>
      <c r="P265" s="85"/>
      <c r="Q265" s="85"/>
      <c r="R265" s="85"/>
      <c r="S265" s="85"/>
      <c r="T265" s="85"/>
      <c r="U265" s="85"/>
      <c r="V265" s="85"/>
      <c r="W265" s="85"/>
    </row>
    <row r="266" spans="1:23" ht="21" customHeight="1">
      <c r="A266" s="84"/>
      <c r="B266" s="86"/>
      <c r="C266" s="87"/>
      <c r="D266" s="85"/>
      <c r="E266" s="86"/>
      <c r="F266" s="88"/>
      <c r="G266" s="86"/>
      <c r="H266" s="86"/>
      <c r="I266" s="85"/>
      <c r="J266" s="85"/>
      <c r="K266" s="85"/>
      <c r="L266" s="85"/>
      <c r="M266" s="85"/>
      <c r="N266" s="86"/>
      <c r="O266" s="84"/>
      <c r="P266" s="85"/>
      <c r="Q266" s="85"/>
      <c r="R266" s="85"/>
      <c r="S266" s="85"/>
      <c r="T266" s="85"/>
      <c r="U266" s="85"/>
      <c r="V266" s="85"/>
      <c r="W266" s="85"/>
    </row>
    <row r="267" spans="1:23" ht="21" customHeight="1">
      <c r="A267" s="84"/>
      <c r="B267" s="86"/>
      <c r="C267" s="87"/>
      <c r="D267" s="85"/>
      <c r="E267" s="86"/>
      <c r="F267" s="88"/>
      <c r="G267" s="86"/>
      <c r="H267" s="86"/>
      <c r="I267" s="85"/>
      <c r="J267" s="85"/>
      <c r="K267" s="85"/>
      <c r="L267" s="85"/>
      <c r="M267" s="85"/>
      <c r="N267" s="86"/>
      <c r="O267" s="84"/>
      <c r="P267" s="85"/>
      <c r="Q267" s="85"/>
      <c r="R267" s="85"/>
      <c r="S267" s="85"/>
      <c r="T267" s="85"/>
      <c r="U267" s="85"/>
      <c r="V267" s="85"/>
      <c r="W267" s="85"/>
    </row>
    <row r="268" spans="1:23" ht="21" customHeight="1">
      <c r="A268" s="84"/>
      <c r="B268" s="86"/>
      <c r="C268" s="87"/>
      <c r="D268" s="85"/>
      <c r="E268" s="86"/>
      <c r="F268" s="88"/>
      <c r="G268" s="86"/>
      <c r="H268" s="86"/>
      <c r="I268" s="85"/>
      <c r="J268" s="85"/>
      <c r="K268" s="85"/>
      <c r="L268" s="85"/>
      <c r="M268" s="85"/>
      <c r="N268" s="86"/>
      <c r="O268" s="84"/>
      <c r="P268" s="85"/>
      <c r="Q268" s="85"/>
      <c r="R268" s="85"/>
      <c r="S268" s="85"/>
      <c r="T268" s="85"/>
      <c r="U268" s="85"/>
      <c r="V268" s="85"/>
      <c r="W268" s="85"/>
    </row>
    <row r="269" spans="1:23" ht="21" customHeight="1">
      <c r="A269" s="84"/>
      <c r="B269" s="86"/>
      <c r="C269" s="87"/>
      <c r="D269" s="85"/>
      <c r="E269" s="86"/>
      <c r="F269" s="88"/>
      <c r="G269" s="86"/>
      <c r="H269" s="86"/>
      <c r="I269" s="85"/>
      <c r="J269" s="85"/>
      <c r="K269" s="85"/>
      <c r="L269" s="85"/>
      <c r="M269" s="85"/>
      <c r="N269" s="86"/>
      <c r="O269" s="84"/>
      <c r="P269" s="85"/>
      <c r="Q269" s="85"/>
      <c r="R269" s="85"/>
      <c r="S269" s="85"/>
      <c r="T269" s="85"/>
      <c r="U269" s="85"/>
      <c r="V269" s="85"/>
      <c r="W269" s="85"/>
    </row>
    <row r="270" spans="1:23" ht="21" customHeight="1">
      <c r="A270" s="84"/>
      <c r="B270" s="86"/>
      <c r="C270" s="87"/>
      <c r="D270" s="85"/>
      <c r="E270" s="86"/>
      <c r="F270" s="88"/>
      <c r="G270" s="86"/>
      <c r="H270" s="86"/>
      <c r="I270" s="85"/>
      <c r="J270" s="85"/>
      <c r="K270" s="85"/>
      <c r="L270" s="85"/>
      <c r="M270" s="85"/>
      <c r="N270" s="86"/>
      <c r="O270" s="84"/>
      <c r="P270" s="85"/>
      <c r="Q270" s="85"/>
      <c r="R270" s="85"/>
      <c r="S270" s="85"/>
      <c r="T270" s="85"/>
      <c r="U270" s="85"/>
      <c r="V270" s="85"/>
      <c r="W270" s="85"/>
    </row>
    <row r="271" spans="1:23" ht="21" customHeight="1">
      <c r="A271" s="84"/>
      <c r="B271" s="86"/>
      <c r="C271" s="87"/>
      <c r="D271" s="85"/>
      <c r="E271" s="86"/>
      <c r="F271" s="88"/>
      <c r="G271" s="86"/>
      <c r="H271" s="86"/>
      <c r="I271" s="85"/>
      <c r="J271" s="85"/>
      <c r="K271" s="85"/>
      <c r="L271" s="85"/>
      <c r="M271" s="85"/>
      <c r="N271" s="86"/>
      <c r="O271" s="84"/>
      <c r="P271" s="85"/>
      <c r="Q271" s="85"/>
      <c r="R271" s="85"/>
      <c r="S271" s="85"/>
      <c r="T271" s="85"/>
      <c r="U271" s="85"/>
      <c r="V271" s="85"/>
      <c r="W271" s="85"/>
    </row>
    <row r="272" spans="1:23" ht="21" customHeight="1">
      <c r="A272" s="84"/>
      <c r="B272" s="86"/>
      <c r="C272" s="87"/>
      <c r="D272" s="85"/>
      <c r="E272" s="86"/>
      <c r="F272" s="88"/>
      <c r="G272" s="86"/>
      <c r="H272" s="86"/>
      <c r="I272" s="85"/>
      <c r="J272" s="85"/>
      <c r="K272" s="85"/>
      <c r="L272" s="85"/>
      <c r="M272" s="85"/>
      <c r="N272" s="86"/>
      <c r="O272" s="84"/>
      <c r="P272" s="85"/>
      <c r="Q272" s="85"/>
      <c r="R272" s="85"/>
      <c r="S272" s="85"/>
      <c r="T272" s="85"/>
      <c r="U272" s="85"/>
      <c r="V272" s="85"/>
      <c r="W272" s="85"/>
    </row>
    <row r="273" spans="1:23" ht="21" customHeight="1">
      <c r="A273" s="84"/>
      <c r="B273" s="86"/>
      <c r="C273" s="87"/>
      <c r="D273" s="85"/>
      <c r="E273" s="86"/>
      <c r="F273" s="88"/>
      <c r="G273" s="86"/>
      <c r="H273" s="86"/>
      <c r="I273" s="85"/>
      <c r="J273" s="85"/>
      <c r="K273" s="85"/>
      <c r="L273" s="85"/>
      <c r="M273" s="85"/>
      <c r="N273" s="86"/>
      <c r="O273" s="84"/>
      <c r="P273" s="85"/>
      <c r="Q273" s="85"/>
      <c r="R273" s="85"/>
      <c r="S273" s="85"/>
      <c r="T273" s="85"/>
      <c r="U273" s="85"/>
      <c r="V273" s="85"/>
      <c r="W273" s="85"/>
    </row>
    <row r="274" spans="1:23" ht="21" customHeight="1">
      <c r="A274" s="84"/>
      <c r="B274" s="86"/>
      <c r="C274" s="87"/>
      <c r="D274" s="85"/>
      <c r="E274" s="86"/>
      <c r="F274" s="88"/>
      <c r="G274" s="86"/>
      <c r="H274" s="86"/>
      <c r="I274" s="85"/>
      <c r="J274" s="85"/>
      <c r="K274" s="85"/>
      <c r="L274" s="85"/>
      <c r="M274" s="85"/>
      <c r="N274" s="86"/>
      <c r="O274" s="84"/>
      <c r="P274" s="85"/>
      <c r="Q274" s="85"/>
      <c r="R274" s="85"/>
      <c r="S274" s="85"/>
      <c r="T274" s="85"/>
      <c r="U274" s="85"/>
      <c r="V274" s="85"/>
      <c r="W274" s="85"/>
    </row>
    <row r="275" spans="1:23" ht="21" customHeight="1">
      <c r="A275" s="84"/>
      <c r="B275" s="86"/>
      <c r="C275" s="87"/>
      <c r="D275" s="85"/>
      <c r="E275" s="86"/>
      <c r="F275" s="88"/>
      <c r="G275" s="86"/>
      <c r="H275" s="86"/>
      <c r="I275" s="85"/>
      <c r="J275" s="85"/>
      <c r="K275" s="85"/>
      <c r="L275" s="85"/>
      <c r="M275" s="85"/>
      <c r="N275" s="86"/>
      <c r="O275" s="84"/>
      <c r="P275" s="85"/>
      <c r="Q275" s="85"/>
      <c r="R275" s="85"/>
      <c r="S275" s="85"/>
      <c r="T275" s="85"/>
      <c r="U275" s="85"/>
      <c r="V275" s="85"/>
      <c r="W275" s="85"/>
    </row>
    <row r="276" spans="1:23" ht="21" customHeight="1">
      <c r="A276" s="84"/>
      <c r="B276" s="86"/>
      <c r="C276" s="87"/>
      <c r="D276" s="85"/>
      <c r="E276" s="86"/>
      <c r="F276" s="88"/>
      <c r="G276" s="86"/>
      <c r="H276" s="86"/>
      <c r="I276" s="85"/>
      <c r="J276" s="85"/>
      <c r="K276" s="85"/>
      <c r="L276" s="85"/>
      <c r="M276" s="85"/>
      <c r="N276" s="86"/>
      <c r="O276" s="84"/>
      <c r="P276" s="85"/>
      <c r="Q276" s="85"/>
      <c r="R276" s="85"/>
      <c r="S276" s="85"/>
      <c r="T276" s="85"/>
      <c r="U276" s="85"/>
      <c r="V276" s="85"/>
      <c r="W276" s="85"/>
    </row>
    <row r="277" spans="1:23" ht="21" customHeight="1">
      <c r="A277" s="84"/>
      <c r="B277" s="86"/>
      <c r="C277" s="87"/>
      <c r="D277" s="85"/>
      <c r="E277" s="86"/>
      <c r="F277" s="88"/>
      <c r="G277" s="86"/>
      <c r="H277" s="86"/>
      <c r="I277" s="85"/>
      <c r="J277" s="85"/>
      <c r="K277" s="85"/>
      <c r="L277" s="85"/>
      <c r="M277" s="85"/>
      <c r="N277" s="86"/>
      <c r="O277" s="84"/>
      <c r="P277" s="85"/>
      <c r="Q277" s="85"/>
      <c r="R277" s="85"/>
      <c r="S277" s="85"/>
      <c r="T277" s="85"/>
      <c r="U277" s="85"/>
      <c r="V277" s="85"/>
      <c r="W277" s="85"/>
    </row>
    <row r="278" spans="1:23" ht="21" customHeight="1">
      <c r="A278" s="84"/>
      <c r="B278" s="86"/>
      <c r="C278" s="87"/>
      <c r="D278" s="85"/>
      <c r="E278" s="86"/>
      <c r="F278" s="88"/>
      <c r="G278" s="86"/>
      <c r="H278" s="86"/>
      <c r="I278" s="85"/>
      <c r="J278" s="85"/>
      <c r="K278" s="85"/>
      <c r="L278" s="85"/>
      <c r="M278" s="85"/>
      <c r="N278" s="86"/>
      <c r="O278" s="84"/>
      <c r="P278" s="85"/>
      <c r="Q278" s="85"/>
      <c r="R278" s="85"/>
      <c r="S278" s="85"/>
      <c r="T278" s="85"/>
      <c r="U278" s="85"/>
      <c r="V278" s="85"/>
      <c r="W278" s="85"/>
    </row>
    <row r="279" spans="1:23" ht="21" customHeight="1">
      <c r="A279" s="84"/>
      <c r="B279" s="86"/>
      <c r="C279" s="87"/>
      <c r="D279" s="85"/>
      <c r="E279" s="86"/>
      <c r="F279" s="88"/>
      <c r="G279" s="86"/>
      <c r="H279" s="86"/>
      <c r="I279" s="85"/>
      <c r="J279" s="85"/>
      <c r="K279" s="85"/>
      <c r="L279" s="85"/>
      <c r="M279" s="85"/>
      <c r="N279" s="86"/>
      <c r="O279" s="84"/>
      <c r="P279" s="85"/>
      <c r="Q279" s="85"/>
      <c r="R279" s="85"/>
      <c r="S279" s="85"/>
      <c r="T279" s="85"/>
      <c r="U279" s="85"/>
      <c r="V279" s="85"/>
      <c r="W279" s="85"/>
    </row>
    <row r="280" spans="1:23" ht="21" customHeight="1">
      <c r="A280" s="84"/>
      <c r="B280" s="86"/>
      <c r="C280" s="87"/>
      <c r="D280" s="85"/>
      <c r="E280" s="86"/>
      <c r="F280" s="88"/>
      <c r="G280" s="86"/>
      <c r="H280" s="86"/>
      <c r="I280" s="85"/>
      <c r="J280" s="85"/>
      <c r="K280" s="85"/>
      <c r="L280" s="85"/>
      <c r="M280" s="85"/>
      <c r="N280" s="86"/>
      <c r="O280" s="84"/>
      <c r="P280" s="85"/>
      <c r="Q280" s="85"/>
      <c r="R280" s="85"/>
      <c r="S280" s="85"/>
      <c r="T280" s="85"/>
      <c r="U280" s="85"/>
      <c r="V280" s="85"/>
      <c r="W280" s="85"/>
    </row>
    <row r="281" spans="1:23" ht="21" customHeight="1">
      <c r="A281" s="84"/>
      <c r="B281" s="86"/>
      <c r="C281" s="87"/>
      <c r="D281" s="85"/>
      <c r="E281" s="86"/>
      <c r="F281" s="88"/>
      <c r="G281" s="86"/>
      <c r="H281" s="86"/>
      <c r="I281" s="85"/>
      <c r="J281" s="85"/>
      <c r="K281" s="85"/>
      <c r="L281" s="85"/>
      <c r="M281" s="85"/>
      <c r="N281" s="86"/>
      <c r="O281" s="84"/>
      <c r="P281" s="85"/>
      <c r="Q281" s="85"/>
      <c r="R281" s="85"/>
      <c r="S281" s="85"/>
      <c r="T281" s="85"/>
      <c r="U281" s="85"/>
      <c r="V281" s="85"/>
      <c r="W281" s="85"/>
    </row>
    <row r="282" spans="1:23" ht="21" customHeight="1">
      <c r="A282" s="84"/>
      <c r="B282" s="86"/>
      <c r="C282" s="87"/>
      <c r="D282" s="85"/>
      <c r="E282" s="86"/>
      <c r="F282" s="88"/>
      <c r="G282" s="86"/>
      <c r="H282" s="86"/>
      <c r="I282" s="85"/>
      <c r="J282" s="85"/>
      <c r="K282" s="85"/>
      <c r="L282" s="85"/>
      <c r="M282" s="85"/>
      <c r="N282" s="86"/>
      <c r="O282" s="84"/>
      <c r="P282" s="85"/>
      <c r="Q282" s="85"/>
      <c r="R282" s="85"/>
      <c r="S282" s="85"/>
      <c r="T282" s="85"/>
      <c r="U282" s="85"/>
      <c r="V282" s="85"/>
      <c r="W282" s="85"/>
    </row>
    <row r="283" spans="1:23" ht="21" customHeight="1">
      <c r="A283" s="84"/>
      <c r="B283" s="86"/>
      <c r="C283" s="87"/>
      <c r="D283" s="85"/>
      <c r="E283" s="86"/>
      <c r="F283" s="88"/>
      <c r="G283" s="86"/>
      <c r="H283" s="86"/>
      <c r="I283" s="85"/>
      <c r="J283" s="85"/>
      <c r="K283" s="85"/>
      <c r="L283" s="85"/>
      <c r="M283" s="85"/>
      <c r="N283" s="86"/>
      <c r="O283" s="84"/>
      <c r="P283" s="85"/>
      <c r="Q283" s="85"/>
      <c r="R283" s="85"/>
      <c r="S283" s="85"/>
      <c r="T283" s="85"/>
      <c r="U283" s="85"/>
      <c r="V283" s="85"/>
      <c r="W283" s="85"/>
    </row>
    <row r="284" spans="1:23" ht="21" customHeight="1">
      <c r="A284" s="84"/>
      <c r="B284" s="86"/>
      <c r="C284" s="87"/>
      <c r="D284" s="85"/>
      <c r="E284" s="86"/>
      <c r="F284" s="88"/>
      <c r="G284" s="86"/>
      <c r="H284" s="86"/>
      <c r="I284" s="85"/>
      <c r="J284" s="85"/>
      <c r="K284" s="85"/>
      <c r="L284" s="85"/>
      <c r="M284" s="85"/>
      <c r="N284" s="86"/>
      <c r="O284" s="84"/>
      <c r="P284" s="85"/>
      <c r="Q284" s="85"/>
      <c r="R284" s="85"/>
      <c r="S284" s="85"/>
      <c r="T284" s="85"/>
      <c r="U284" s="85"/>
      <c r="V284" s="85"/>
      <c r="W284" s="85"/>
    </row>
    <row r="285" spans="1:23" ht="21" customHeight="1">
      <c r="A285" s="84"/>
      <c r="B285" s="86"/>
      <c r="C285" s="87"/>
      <c r="D285" s="85"/>
      <c r="E285" s="86"/>
      <c r="F285" s="88"/>
      <c r="G285" s="86"/>
      <c r="H285" s="86"/>
      <c r="I285" s="85"/>
      <c r="J285" s="85"/>
      <c r="K285" s="85"/>
      <c r="L285" s="85"/>
      <c r="M285" s="85"/>
      <c r="N285" s="86"/>
      <c r="O285" s="84"/>
      <c r="P285" s="85"/>
      <c r="Q285" s="85"/>
      <c r="R285" s="85"/>
      <c r="S285" s="85"/>
      <c r="T285" s="85"/>
      <c r="U285" s="85"/>
      <c r="V285" s="85"/>
      <c r="W285" s="85"/>
    </row>
    <row r="286" spans="1:23" ht="21" customHeight="1">
      <c r="A286" s="84"/>
      <c r="B286" s="86"/>
      <c r="C286" s="87"/>
      <c r="D286" s="85"/>
      <c r="E286" s="86"/>
      <c r="F286" s="88"/>
      <c r="G286" s="86"/>
      <c r="H286" s="86"/>
      <c r="I286" s="85"/>
      <c r="J286" s="85"/>
      <c r="K286" s="85"/>
      <c r="L286" s="85"/>
      <c r="M286" s="85"/>
      <c r="N286" s="86"/>
      <c r="O286" s="84"/>
      <c r="P286" s="85"/>
      <c r="Q286" s="85"/>
      <c r="R286" s="85"/>
      <c r="S286" s="85"/>
      <c r="T286" s="85"/>
      <c r="U286" s="85"/>
      <c r="V286" s="85"/>
      <c r="W286" s="85"/>
    </row>
    <row r="287" spans="1:23" ht="21" customHeight="1">
      <c r="A287" s="84"/>
      <c r="B287" s="86"/>
      <c r="C287" s="87"/>
      <c r="D287" s="85"/>
      <c r="E287" s="86"/>
      <c r="F287" s="88"/>
      <c r="G287" s="86"/>
      <c r="H287" s="86"/>
      <c r="I287" s="85"/>
      <c r="J287" s="85"/>
      <c r="K287" s="85"/>
      <c r="L287" s="85"/>
      <c r="M287" s="85"/>
      <c r="N287" s="86"/>
      <c r="O287" s="84"/>
      <c r="P287" s="85"/>
      <c r="Q287" s="85"/>
      <c r="R287" s="85"/>
      <c r="S287" s="85"/>
      <c r="T287" s="85"/>
      <c r="U287" s="85"/>
      <c r="V287" s="85"/>
      <c r="W287" s="85"/>
    </row>
    <row r="288" spans="1:23" ht="21" customHeight="1">
      <c r="A288" s="84"/>
      <c r="B288" s="86"/>
      <c r="C288" s="87"/>
      <c r="D288" s="85"/>
      <c r="E288" s="86"/>
      <c r="F288" s="88"/>
      <c r="G288" s="86"/>
      <c r="H288" s="86"/>
      <c r="I288" s="85"/>
      <c r="J288" s="85"/>
      <c r="K288" s="85"/>
      <c r="L288" s="85"/>
      <c r="M288" s="85"/>
      <c r="N288" s="86"/>
      <c r="O288" s="84"/>
      <c r="P288" s="85"/>
      <c r="Q288" s="85"/>
      <c r="R288" s="85"/>
      <c r="S288" s="85"/>
      <c r="T288" s="85"/>
      <c r="U288" s="85"/>
      <c r="V288" s="85"/>
      <c r="W288" s="85"/>
    </row>
    <row r="289" spans="1:23" ht="21" customHeight="1">
      <c r="A289" s="84"/>
      <c r="B289" s="86"/>
      <c r="C289" s="87"/>
      <c r="D289" s="85"/>
      <c r="E289" s="86"/>
      <c r="F289" s="88"/>
      <c r="G289" s="86"/>
      <c r="H289" s="86"/>
      <c r="I289" s="85"/>
      <c r="J289" s="85"/>
      <c r="K289" s="85"/>
      <c r="L289" s="85"/>
      <c r="M289" s="85"/>
      <c r="N289" s="86"/>
      <c r="O289" s="84"/>
      <c r="P289" s="85"/>
      <c r="Q289" s="85"/>
      <c r="R289" s="85"/>
      <c r="S289" s="85"/>
      <c r="T289" s="85"/>
      <c r="U289" s="85"/>
      <c r="V289" s="85"/>
      <c r="W289" s="85"/>
    </row>
    <row r="290" spans="1:23" ht="21" customHeight="1">
      <c r="A290" s="84"/>
      <c r="B290" s="86"/>
      <c r="C290" s="87"/>
      <c r="D290" s="85"/>
      <c r="E290" s="86"/>
      <c r="F290" s="88"/>
      <c r="G290" s="86"/>
      <c r="H290" s="86"/>
      <c r="I290" s="85"/>
      <c r="J290" s="85"/>
      <c r="K290" s="85"/>
      <c r="L290" s="85"/>
      <c r="M290" s="85"/>
      <c r="N290" s="86"/>
      <c r="O290" s="84"/>
      <c r="P290" s="85"/>
      <c r="Q290" s="85"/>
      <c r="R290" s="85"/>
      <c r="S290" s="85"/>
      <c r="T290" s="85"/>
      <c r="U290" s="85"/>
      <c r="V290" s="85"/>
      <c r="W290" s="85"/>
    </row>
    <row r="291" spans="1:23" ht="21" customHeight="1">
      <c r="A291" s="84"/>
      <c r="B291" s="86"/>
      <c r="C291" s="87"/>
      <c r="D291" s="85"/>
      <c r="E291" s="86"/>
      <c r="F291" s="88"/>
      <c r="G291" s="86"/>
      <c r="H291" s="86"/>
      <c r="I291" s="85"/>
      <c r="J291" s="85"/>
      <c r="K291" s="85"/>
      <c r="L291" s="85"/>
      <c r="M291" s="85"/>
      <c r="N291" s="86"/>
      <c r="O291" s="84"/>
      <c r="P291" s="85"/>
      <c r="Q291" s="85"/>
      <c r="R291" s="85"/>
      <c r="S291" s="85"/>
      <c r="T291" s="85"/>
      <c r="U291" s="85"/>
      <c r="V291" s="85"/>
      <c r="W291" s="85"/>
    </row>
    <row r="292" spans="1:23" ht="21" customHeight="1">
      <c r="A292" s="84"/>
      <c r="B292" s="86"/>
      <c r="C292" s="87"/>
      <c r="D292" s="85"/>
      <c r="E292" s="86"/>
      <c r="F292" s="88"/>
      <c r="G292" s="86"/>
      <c r="H292" s="86"/>
      <c r="I292" s="85"/>
      <c r="J292" s="85"/>
      <c r="K292" s="85"/>
      <c r="L292" s="85"/>
      <c r="M292" s="85"/>
      <c r="N292" s="86"/>
      <c r="O292" s="84"/>
      <c r="P292" s="85"/>
      <c r="Q292" s="85"/>
      <c r="R292" s="85"/>
      <c r="S292" s="85"/>
      <c r="T292" s="85"/>
      <c r="U292" s="85"/>
      <c r="V292" s="85"/>
      <c r="W292" s="85"/>
    </row>
    <row r="293" spans="1:23" ht="21" customHeight="1">
      <c r="A293" s="84"/>
      <c r="B293" s="86"/>
      <c r="C293" s="87"/>
      <c r="D293" s="85"/>
      <c r="E293" s="86"/>
      <c r="F293" s="88"/>
      <c r="G293" s="86"/>
      <c r="H293" s="86"/>
      <c r="I293" s="85"/>
      <c r="J293" s="85"/>
      <c r="K293" s="85"/>
      <c r="L293" s="85"/>
      <c r="M293" s="85"/>
      <c r="N293" s="86"/>
      <c r="O293" s="84"/>
      <c r="P293" s="85"/>
      <c r="Q293" s="85"/>
      <c r="R293" s="85"/>
      <c r="S293" s="85"/>
      <c r="T293" s="85"/>
      <c r="U293" s="85"/>
      <c r="V293" s="85"/>
      <c r="W293" s="85"/>
    </row>
    <row r="294" spans="1:23" ht="21" customHeight="1">
      <c r="A294" s="84"/>
      <c r="B294" s="86"/>
      <c r="C294" s="87"/>
      <c r="D294" s="85"/>
      <c r="E294" s="86"/>
      <c r="F294" s="88"/>
      <c r="G294" s="86"/>
      <c r="H294" s="86"/>
      <c r="I294" s="85"/>
      <c r="J294" s="85"/>
      <c r="K294" s="85"/>
      <c r="L294" s="85"/>
      <c r="M294" s="85"/>
      <c r="N294" s="86"/>
      <c r="O294" s="84"/>
      <c r="P294" s="85"/>
      <c r="Q294" s="85"/>
      <c r="R294" s="85"/>
      <c r="S294" s="85"/>
      <c r="T294" s="85"/>
      <c r="U294" s="85"/>
      <c r="V294" s="85"/>
      <c r="W294" s="85"/>
    </row>
    <row r="295" spans="1:23" ht="21" customHeight="1">
      <c r="A295" s="84"/>
      <c r="B295" s="86"/>
      <c r="C295" s="87"/>
      <c r="D295" s="85"/>
      <c r="E295" s="86"/>
      <c r="F295" s="88"/>
      <c r="G295" s="86"/>
      <c r="H295" s="86"/>
      <c r="I295" s="85"/>
      <c r="J295" s="85"/>
      <c r="K295" s="85"/>
      <c r="L295" s="85"/>
      <c r="M295" s="85"/>
      <c r="N295" s="86"/>
      <c r="O295" s="84"/>
      <c r="P295" s="85"/>
      <c r="Q295" s="85"/>
      <c r="R295" s="85"/>
      <c r="S295" s="85"/>
      <c r="T295" s="85"/>
      <c r="U295" s="85"/>
      <c r="V295" s="85"/>
      <c r="W295" s="85"/>
    </row>
    <row r="296" spans="1:23" ht="21" customHeight="1">
      <c r="A296" s="84"/>
      <c r="B296" s="86"/>
      <c r="C296" s="87"/>
      <c r="D296" s="85"/>
      <c r="E296" s="86"/>
      <c r="F296" s="88"/>
      <c r="G296" s="86"/>
      <c r="H296" s="86"/>
      <c r="I296" s="85"/>
      <c r="J296" s="85"/>
      <c r="K296" s="85"/>
      <c r="L296" s="85"/>
      <c r="M296" s="85"/>
      <c r="N296" s="86"/>
      <c r="O296" s="84"/>
      <c r="P296" s="85"/>
      <c r="Q296" s="85"/>
      <c r="R296" s="85"/>
      <c r="S296" s="85"/>
      <c r="T296" s="85"/>
      <c r="U296" s="85"/>
      <c r="V296" s="85"/>
      <c r="W296" s="85"/>
    </row>
    <row r="297" spans="1:23" ht="21" customHeight="1">
      <c r="A297" s="84"/>
      <c r="B297" s="86"/>
      <c r="C297" s="87"/>
      <c r="D297" s="85"/>
      <c r="E297" s="86"/>
      <c r="F297" s="88"/>
      <c r="G297" s="86"/>
      <c r="H297" s="86"/>
      <c r="I297" s="85"/>
      <c r="J297" s="85"/>
      <c r="K297" s="85"/>
      <c r="L297" s="85"/>
      <c r="M297" s="85"/>
      <c r="N297" s="86"/>
      <c r="O297" s="84"/>
      <c r="P297" s="85"/>
      <c r="Q297" s="85"/>
      <c r="R297" s="85"/>
      <c r="S297" s="85"/>
      <c r="T297" s="85"/>
      <c r="U297" s="85"/>
      <c r="V297" s="85"/>
      <c r="W297" s="85"/>
    </row>
    <row r="298" spans="1:23" ht="21" customHeight="1">
      <c r="A298" s="84"/>
      <c r="B298" s="86"/>
      <c r="C298" s="87"/>
      <c r="D298" s="85"/>
      <c r="E298" s="86"/>
      <c r="F298" s="88"/>
      <c r="G298" s="86"/>
      <c r="H298" s="86"/>
      <c r="I298" s="85"/>
      <c r="J298" s="85"/>
      <c r="K298" s="85"/>
      <c r="L298" s="85"/>
      <c r="M298" s="85"/>
      <c r="N298" s="86"/>
      <c r="O298" s="84"/>
      <c r="P298" s="85"/>
      <c r="Q298" s="85"/>
      <c r="R298" s="85"/>
      <c r="S298" s="85"/>
      <c r="T298" s="85"/>
      <c r="U298" s="85"/>
      <c r="V298" s="85"/>
      <c r="W298" s="85"/>
    </row>
    <row r="299" spans="1:23" ht="21" customHeight="1">
      <c r="A299" s="84"/>
      <c r="B299" s="86"/>
      <c r="C299" s="87"/>
      <c r="D299" s="85"/>
      <c r="E299" s="86"/>
      <c r="F299" s="88"/>
      <c r="G299" s="86"/>
      <c r="H299" s="86"/>
      <c r="I299" s="85"/>
      <c r="J299" s="85"/>
      <c r="K299" s="85"/>
      <c r="L299" s="85"/>
      <c r="M299" s="85"/>
      <c r="N299" s="86"/>
      <c r="O299" s="84"/>
      <c r="P299" s="85"/>
      <c r="Q299" s="85"/>
      <c r="R299" s="85"/>
      <c r="S299" s="85"/>
      <c r="T299" s="85"/>
      <c r="U299" s="85"/>
      <c r="V299" s="85"/>
      <c r="W299" s="85"/>
    </row>
    <row r="300" spans="1:23" ht="21" customHeight="1">
      <c r="A300" s="84"/>
      <c r="B300" s="86"/>
      <c r="C300" s="87"/>
      <c r="D300" s="85"/>
      <c r="E300" s="86"/>
      <c r="F300" s="88"/>
      <c r="G300" s="86"/>
      <c r="H300" s="86"/>
      <c r="I300" s="85"/>
      <c r="J300" s="85"/>
      <c r="K300" s="85"/>
      <c r="L300" s="85"/>
      <c r="M300" s="85"/>
      <c r="N300" s="86"/>
      <c r="O300" s="84"/>
      <c r="P300" s="85"/>
      <c r="Q300" s="85"/>
      <c r="R300" s="85"/>
      <c r="S300" s="85"/>
      <c r="T300" s="85"/>
      <c r="U300" s="85"/>
      <c r="V300" s="85"/>
      <c r="W300" s="85"/>
    </row>
    <row r="301" spans="1:23" ht="21" customHeight="1">
      <c r="A301" s="84"/>
      <c r="B301" s="86"/>
      <c r="C301" s="87"/>
      <c r="D301" s="85"/>
      <c r="E301" s="86"/>
      <c r="F301" s="88"/>
      <c r="G301" s="86"/>
      <c r="H301" s="86"/>
      <c r="I301" s="85"/>
      <c r="J301" s="85"/>
      <c r="K301" s="85"/>
      <c r="L301" s="85"/>
      <c r="M301" s="85"/>
      <c r="N301" s="86"/>
      <c r="O301" s="84"/>
      <c r="P301" s="85"/>
      <c r="Q301" s="85"/>
      <c r="R301" s="85"/>
      <c r="S301" s="85"/>
      <c r="T301" s="85"/>
      <c r="U301" s="85"/>
      <c r="V301" s="85"/>
      <c r="W301" s="85"/>
    </row>
    <row r="302" spans="1:23" ht="21" customHeight="1">
      <c r="A302" s="84"/>
      <c r="B302" s="86"/>
      <c r="C302" s="87"/>
      <c r="D302" s="85"/>
      <c r="E302" s="86"/>
      <c r="F302" s="88"/>
      <c r="G302" s="86"/>
      <c r="H302" s="86"/>
      <c r="I302" s="85"/>
      <c r="J302" s="85"/>
      <c r="K302" s="85"/>
      <c r="L302" s="85"/>
      <c r="M302" s="85"/>
      <c r="N302" s="86"/>
      <c r="O302" s="84"/>
      <c r="P302" s="85"/>
      <c r="Q302" s="85"/>
      <c r="R302" s="85"/>
      <c r="S302" s="85"/>
      <c r="T302" s="85"/>
      <c r="U302" s="85"/>
      <c r="V302" s="85"/>
      <c r="W302" s="85"/>
    </row>
    <row r="303" spans="1:23" ht="21" customHeight="1">
      <c r="A303" s="84"/>
      <c r="B303" s="86"/>
      <c r="C303" s="87"/>
      <c r="D303" s="85"/>
      <c r="E303" s="86"/>
      <c r="F303" s="88"/>
      <c r="G303" s="86"/>
      <c r="H303" s="86"/>
      <c r="I303" s="85"/>
      <c r="J303" s="85"/>
      <c r="K303" s="85"/>
      <c r="L303" s="85"/>
      <c r="M303" s="85"/>
      <c r="N303" s="86"/>
      <c r="O303" s="84"/>
      <c r="P303" s="85"/>
      <c r="Q303" s="85"/>
      <c r="R303" s="85"/>
      <c r="S303" s="85"/>
      <c r="T303" s="85"/>
      <c r="U303" s="85"/>
      <c r="V303" s="85"/>
      <c r="W303" s="85"/>
    </row>
    <row r="304" spans="1:23" ht="21" customHeight="1">
      <c r="A304" s="84"/>
      <c r="B304" s="86"/>
      <c r="C304" s="87"/>
      <c r="D304" s="85"/>
      <c r="E304" s="86"/>
      <c r="F304" s="88"/>
      <c r="G304" s="86"/>
      <c r="H304" s="86"/>
      <c r="I304" s="85"/>
      <c r="J304" s="85"/>
      <c r="K304" s="85"/>
      <c r="L304" s="85"/>
      <c r="M304" s="85"/>
      <c r="N304" s="86"/>
      <c r="O304" s="84"/>
      <c r="P304" s="85"/>
      <c r="Q304" s="85"/>
      <c r="R304" s="85"/>
      <c r="S304" s="85"/>
      <c r="T304" s="85"/>
      <c r="U304" s="85"/>
      <c r="V304" s="85"/>
      <c r="W304" s="85"/>
    </row>
    <row r="305" spans="1:23" ht="21" customHeight="1">
      <c r="A305" s="84"/>
      <c r="B305" s="86"/>
      <c r="C305" s="87"/>
      <c r="D305" s="85"/>
      <c r="E305" s="86"/>
      <c r="F305" s="88"/>
      <c r="G305" s="86"/>
      <c r="H305" s="86"/>
      <c r="I305" s="85"/>
      <c r="J305" s="85"/>
      <c r="K305" s="85"/>
      <c r="L305" s="85"/>
      <c r="M305" s="85"/>
      <c r="N305" s="86"/>
      <c r="O305" s="84"/>
      <c r="P305" s="85"/>
      <c r="Q305" s="85"/>
      <c r="R305" s="85"/>
      <c r="S305" s="85"/>
      <c r="T305" s="85"/>
      <c r="U305" s="85"/>
      <c r="V305" s="85"/>
      <c r="W305" s="85"/>
    </row>
    <row r="306" spans="1:23" ht="21" customHeight="1">
      <c r="A306" s="84"/>
      <c r="B306" s="86"/>
      <c r="C306" s="87"/>
      <c r="D306" s="85"/>
      <c r="E306" s="86"/>
      <c r="F306" s="88"/>
      <c r="G306" s="86"/>
      <c r="H306" s="86"/>
      <c r="I306" s="85"/>
      <c r="J306" s="85"/>
      <c r="K306" s="85"/>
      <c r="L306" s="85"/>
      <c r="M306" s="85"/>
      <c r="N306" s="86"/>
      <c r="O306" s="84"/>
      <c r="P306" s="85"/>
      <c r="Q306" s="85"/>
      <c r="R306" s="85"/>
      <c r="S306" s="85"/>
      <c r="T306" s="85"/>
      <c r="U306" s="85"/>
      <c r="V306" s="85"/>
      <c r="W306" s="85"/>
    </row>
    <row r="307" spans="1:23" ht="21" customHeight="1">
      <c r="A307" s="84"/>
      <c r="B307" s="86"/>
      <c r="C307" s="87"/>
      <c r="D307" s="85"/>
      <c r="E307" s="86"/>
      <c r="F307" s="88"/>
      <c r="G307" s="86"/>
      <c r="H307" s="86"/>
      <c r="I307" s="85"/>
      <c r="J307" s="85"/>
      <c r="K307" s="85"/>
      <c r="L307" s="85"/>
      <c r="M307" s="85"/>
      <c r="N307" s="86"/>
      <c r="O307" s="84"/>
      <c r="P307" s="85"/>
      <c r="Q307" s="85"/>
      <c r="R307" s="85"/>
      <c r="S307" s="85"/>
      <c r="T307" s="85"/>
      <c r="U307" s="85"/>
      <c r="V307" s="85"/>
      <c r="W307" s="85"/>
    </row>
    <row r="308" spans="1:23" ht="21" customHeight="1">
      <c r="A308" s="84"/>
      <c r="B308" s="86"/>
      <c r="C308" s="87"/>
      <c r="D308" s="85"/>
      <c r="E308" s="86"/>
      <c r="F308" s="88"/>
      <c r="G308" s="86"/>
      <c r="H308" s="86"/>
      <c r="I308" s="85"/>
      <c r="J308" s="85"/>
      <c r="K308" s="85"/>
      <c r="L308" s="85"/>
      <c r="M308" s="85"/>
      <c r="N308" s="86"/>
      <c r="O308" s="84"/>
      <c r="P308" s="85"/>
      <c r="Q308" s="85"/>
      <c r="R308" s="85"/>
      <c r="S308" s="85"/>
      <c r="T308" s="85"/>
      <c r="U308" s="85"/>
      <c r="V308" s="85"/>
      <c r="W308" s="85"/>
    </row>
    <row r="309" spans="1:23" ht="21" customHeight="1">
      <c r="A309" s="84"/>
      <c r="B309" s="86"/>
      <c r="C309" s="87"/>
      <c r="D309" s="85"/>
      <c r="E309" s="86"/>
      <c r="F309" s="88"/>
      <c r="G309" s="86"/>
      <c r="H309" s="86"/>
      <c r="I309" s="85"/>
      <c r="J309" s="85"/>
      <c r="K309" s="85"/>
      <c r="L309" s="85"/>
      <c r="M309" s="85"/>
      <c r="N309" s="86"/>
      <c r="O309" s="84"/>
      <c r="P309" s="85"/>
      <c r="Q309" s="85"/>
      <c r="R309" s="85"/>
      <c r="S309" s="85"/>
      <c r="T309" s="85"/>
      <c r="U309" s="85"/>
      <c r="V309" s="85"/>
      <c r="W309" s="85"/>
    </row>
    <row r="310" spans="1:23" ht="21" customHeight="1">
      <c r="A310" s="84"/>
      <c r="B310" s="86"/>
      <c r="C310" s="87"/>
      <c r="D310" s="85"/>
      <c r="E310" s="86"/>
      <c r="F310" s="88"/>
      <c r="G310" s="86"/>
      <c r="H310" s="86"/>
      <c r="I310" s="85"/>
      <c r="J310" s="85"/>
      <c r="K310" s="85"/>
      <c r="L310" s="85"/>
      <c r="M310" s="85"/>
      <c r="N310" s="86"/>
      <c r="O310" s="84"/>
      <c r="P310" s="85"/>
      <c r="Q310" s="85"/>
      <c r="R310" s="85"/>
      <c r="S310" s="85"/>
      <c r="T310" s="85"/>
      <c r="U310" s="85"/>
      <c r="V310" s="85"/>
      <c r="W310" s="85"/>
    </row>
    <row r="311" spans="1:23" ht="21" customHeight="1">
      <c r="A311" s="84"/>
      <c r="B311" s="86"/>
      <c r="C311" s="87"/>
      <c r="D311" s="85"/>
      <c r="E311" s="86"/>
      <c r="F311" s="88"/>
      <c r="G311" s="86"/>
      <c r="H311" s="86"/>
      <c r="I311" s="85"/>
      <c r="J311" s="85"/>
      <c r="K311" s="85"/>
      <c r="L311" s="85"/>
      <c r="M311" s="85"/>
      <c r="N311" s="86"/>
      <c r="O311" s="84"/>
      <c r="P311" s="85"/>
      <c r="Q311" s="85"/>
      <c r="R311" s="85"/>
      <c r="S311" s="85"/>
      <c r="T311" s="85"/>
      <c r="U311" s="85"/>
      <c r="V311" s="85"/>
      <c r="W311" s="85"/>
    </row>
    <row r="312" spans="1:23" ht="21" customHeight="1">
      <c r="A312" s="84"/>
      <c r="B312" s="86"/>
      <c r="C312" s="87"/>
      <c r="D312" s="85"/>
      <c r="E312" s="86"/>
      <c r="F312" s="88"/>
      <c r="G312" s="86"/>
      <c r="H312" s="86"/>
      <c r="I312" s="85"/>
      <c r="J312" s="85"/>
      <c r="K312" s="85"/>
      <c r="L312" s="85"/>
      <c r="M312" s="85"/>
      <c r="N312" s="86"/>
      <c r="O312" s="84"/>
      <c r="P312" s="85"/>
      <c r="Q312" s="85"/>
      <c r="R312" s="85"/>
      <c r="S312" s="85"/>
      <c r="T312" s="85"/>
      <c r="U312" s="85"/>
      <c r="V312" s="85"/>
      <c r="W312" s="85"/>
    </row>
    <row r="313" spans="1:23" ht="21" customHeight="1">
      <c r="A313" s="84"/>
      <c r="B313" s="86"/>
      <c r="C313" s="87"/>
      <c r="D313" s="85"/>
      <c r="E313" s="86"/>
      <c r="F313" s="88"/>
      <c r="G313" s="86"/>
      <c r="H313" s="86"/>
      <c r="I313" s="85"/>
      <c r="J313" s="85"/>
      <c r="K313" s="85"/>
      <c r="L313" s="85"/>
      <c r="M313" s="85"/>
      <c r="N313" s="86"/>
      <c r="O313" s="84"/>
      <c r="P313" s="85"/>
      <c r="Q313" s="85"/>
      <c r="R313" s="85"/>
      <c r="S313" s="85"/>
      <c r="T313" s="85"/>
      <c r="U313" s="85"/>
      <c r="V313" s="85"/>
      <c r="W313" s="85"/>
    </row>
    <row r="314" spans="1:23" ht="21" customHeight="1">
      <c r="A314" s="84"/>
      <c r="B314" s="86"/>
      <c r="C314" s="87"/>
      <c r="D314" s="85"/>
      <c r="E314" s="86"/>
      <c r="F314" s="88"/>
      <c r="G314" s="86"/>
      <c r="H314" s="86"/>
      <c r="I314" s="85"/>
      <c r="J314" s="85"/>
      <c r="K314" s="85"/>
      <c r="L314" s="85"/>
      <c r="M314" s="85"/>
      <c r="N314" s="86"/>
      <c r="O314" s="84"/>
      <c r="P314" s="85"/>
      <c r="Q314" s="85"/>
      <c r="R314" s="85"/>
      <c r="S314" s="85"/>
      <c r="T314" s="85"/>
      <c r="U314" s="85"/>
      <c r="V314" s="85"/>
      <c r="W314" s="85"/>
    </row>
    <row r="315" spans="1:23" ht="21" customHeight="1">
      <c r="A315" s="84"/>
      <c r="B315" s="86"/>
      <c r="C315" s="87"/>
      <c r="D315" s="85"/>
      <c r="E315" s="86"/>
      <c r="F315" s="88"/>
      <c r="G315" s="86"/>
      <c r="H315" s="86"/>
      <c r="I315" s="85"/>
      <c r="J315" s="85"/>
      <c r="K315" s="85"/>
      <c r="L315" s="85"/>
      <c r="M315" s="85"/>
      <c r="N315" s="86"/>
      <c r="O315" s="84"/>
      <c r="P315" s="85"/>
      <c r="Q315" s="85"/>
      <c r="R315" s="85"/>
      <c r="S315" s="85"/>
      <c r="T315" s="85"/>
      <c r="U315" s="85"/>
      <c r="V315" s="85"/>
      <c r="W315" s="85"/>
    </row>
    <row r="316" spans="1:23" ht="21" customHeight="1">
      <c r="A316" s="84"/>
      <c r="B316" s="86"/>
      <c r="C316" s="87"/>
      <c r="D316" s="85"/>
      <c r="E316" s="86"/>
      <c r="F316" s="88"/>
      <c r="G316" s="86"/>
      <c r="H316" s="86"/>
      <c r="I316" s="85"/>
      <c r="J316" s="85"/>
      <c r="K316" s="85"/>
      <c r="L316" s="85"/>
      <c r="M316" s="85"/>
      <c r="N316" s="86"/>
      <c r="O316" s="84"/>
      <c r="P316" s="85"/>
      <c r="Q316" s="85"/>
      <c r="R316" s="85"/>
      <c r="S316" s="85"/>
      <c r="T316" s="85"/>
      <c r="U316" s="85"/>
      <c r="V316" s="85"/>
      <c r="W316" s="85"/>
    </row>
    <row r="317" spans="1:23" ht="21" customHeight="1">
      <c r="A317" s="84"/>
      <c r="B317" s="86"/>
      <c r="C317" s="87"/>
      <c r="D317" s="85"/>
      <c r="E317" s="86"/>
      <c r="F317" s="88"/>
      <c r="G317" s="86"/>
      <c r="H317" s="86"/>
      <c r="I317" s="85"/>
      <c r="J317" s="85"/>
      <c r="K317" s="85"/>
      <c r="L317" s="85"/>
      <c r="M317" s="85"/>
      <c r="N317" s="86"/>
      <c r="O317" s="84"/>
      <c r="P317" s="85"/>
      <c r="Q317" s="85"/>
      <c r="R317" s="85"/>
      <c r="S317" s="85"/>
      <c r="T317" s="85"/>
      <c r="U317" s="85"/>
      <c r="V317" s="85"/>
      <c r="W317" s="85"/>
    </row>
    <row r="318" spans="1:23" ht="21" customHeight="1">
      <c r="A318" s="84"/>
      <c r="B318" s="86"/>
      <c r="C318" s="87"/>
      <c r="D318" s="85"/>
      <c r="E318" s="86"/>
      <c r="F318" s="88"/>
      <c r="G318" s="86"/>
      <c r="H318" s="86"/>
      <c r="I318" s="85"/>
      <c r="J318" s="85"/>
      <c r="K318" s="85"/>
      <c r="L318" s="85"/>
      <c r="M318" s="85"/>
      <c r="N318" s="86"/>
      <c r="O318" s="84"/>
      <c r="P318" s="85"/>
      <c r="Q318" s="85"/>
      <c r="R318" s="85"/>
      <c r="S318" s="85"/>
      <c r="T318" s="85"/>
      <c r="U318" s="85"/>
      <c r="V318" s="85"/>
      <c r="W318" s="85"/>
    </row>
    <row r="319" spans="1:23" ht="21" customHeight="1">
      <c r="A319" s="84"/>
      <c r="B319" s="86"/>
      <c r="C319" s="87"/>
      <c r="D319" s="85"/>
      <c r="E319" s="86"/>
      <c r="F319" s="88"/>
      <c r="G319" s="86"/>
      <c r="H319" s="86"/>
      <c r="I319" s="85"/>
      <c r="J319" s="85"/>
      <c r="K319" s="85"/>
      <c r="L319" s="85"/>
      <c r="M319" s="85"/>
      <c r="N319" s="86"/>
      <c r="O319" s="84"/>
      <c r="P319" s="85"/>
      <c r="Q319" s="85"/>
      <c r="R319" s="85"/>
      <c r="S319" s="85"/>
      <c r="T319" s="85"/>
      <c r="U319" s="85"/>
      <c r="V319" s="85"/>
      <c r="W319" s="85"/>
    </row>
    <row r="320" spans="1:23" ht="21" customHeight="1">
      <c r="A320" s="84"/>
      <c r="B320" s="86"/>
      <c r="C320" s="87"/>
      <c r="D320" s="85"/>
      <c r="E320" s="86"/>
      <c r="F320" s="88"/>
      <c r="G320" s="86"/>
      <c r="H320" s="86"/>
      <c r="I320" s="85"/>
      <c r="J320" s="85"/>
      <c r="K320" s="85"/>
      <c r="L320" s="85"/>
      <c r="M320" s="85"/>
      <c r="N320" s="86"/>
      <c r="O320" s="84"/>
      <c r="P320" s="85"/>
      <c r="Q320" s="85"/>
      <c r="R320" s="85"/>
      <c r="S320" s="85"/>
      <c r="T320" s="85"/>
      <c r="U320" s="85"/>
      <c r="V320" s="85"/>
      <c r="W320" s="85"/>
    </row>
    <row r="321" spans="1:23" ht="21" customHeight="1">
      <c r="A321" s="84"/>
      <c r="B321" s="86"/>
      <c r="C321" s="87"/>
      <c r="D321" s="85"/>
      <c r="E321" s="86"/>
      <c r="F321" s="88"/>
      <c r="G321" s="86"/>
      <c r="H321" s="86"/>
      <c r="I321" s="85"/>
      <c r="J321" s="85"/>
      <c r="K321" s="85"/>
      <c r="L321" s="85"/>
      <c r="M321" s="85"/>
      <c r="N321" s="86"/>
      <c r="O321" s="84"/>
      <c r="P321" s="85"/>
      <c r="Q321" s="85"/>
      <c r="R321" s="85"/>
      <c r="S321" s="85"/>
      <c r="T321" s="85"/>
      <c r="U321" s="85"/>
      <c r="V321" s="85"/>
      <c r="W321" s="85"/>
    </row>
    <row r="322" spans="1:23" ht="21" customHeight="1">
      <c r="A322" s="84"/>
      <c r="B322" s="86"/>
      <c r="C322" s="87"/>
      <c r="D322" s="85"/>
      <c r="E322" s="86"/>
      <c r="F322" s="88"/>
      <c r="G322" s="86"/>
      <c r="H322" s="86"/>
      <c r="I322" s="85"/>
      <c r="J322" s="85"/>
      <c r="K322" s="85"/>
      <c r="L322" s="85"/>
      <c r="M322" s="85"/>
      <c r="N322" s="86"/>
      <c r="O322" s="84"/>
      <c r="P322" s="85"/>
      <c r="Q322" s="85"/>
      <c r="R322" s="85"/>
      <c r="S322" s="85"/>
      <c r="T322" s="85"/>
      <c r="U322" s="85"/>
      <c r="V322" s="85"/>
      <c r="W322" s="85"/>
    </row>
    <row r="323" spans="1:23" ht="21" customHeight="1">
      <c r="A323" s="84"/>
      <c r="B323" s="86"/>
      <c r="C323" s="87"/>
      <c r="D323" s="85"/>
      <c r="E323" s="86"/>
      <c r="F323" s="88"/>
      <c r="G323" s="86"/>
      <c r="H323" s="86"/>
      <c r="I323" s="85"/>
      <c r="J323" s="85"/>
      <c r="K323" s="85"/>
      <c r="L323" s="85"/>
      <c r="M323" s="85"/>
      <c r="N323" s="86"/>
      <c r="O323" s="84"/>
      <c r="P323" s="85"/>
      <c r="Q323" s="85"/>
      <c r="R323" s="85"/>
      <c r="S323" s="85"/>
      <c r="T323" s="85"/>
      <c r="U323" s="85"/>
      <c r="V323" s="85"/>
      <c r="W323" s="85"/>
    </row>
    <row r="324" spans="1:23" ht="21" customHeight="1">
      <c r="A324" s="84"/>
      <c r="B324" s="86"/>
      <c r="C324" s="87"/>
      <c r="D324" s="85"/>
      <c r="E324" s="86"/>
      <c r="F324" s="88"/>
      <c r="G324" s="86"/>
      <c r="H324" s="86"/>
      <c r="I324" s="85"/>
      <c r="J324" s="85"/>
      <c r="K324" s="85"/>
      <c r="L324" s="85"/>
      <c r="M324" s="85"/>
      <c r="N324" s="86"/>
      <c r="O324" s="84"/>
      <c r="P324" s="85"/>
      <c r="Q324" s="85"/>
      <c r="R324" s="85"/>
      <c r="S324" s="85"/>
      <c r="T324" s="85"/>
      <c r="U324" s="85"/>
      <c r="V324" s="85"/>
      <c r="W324" s="85"/>
    </row>
    <row r="325" spans="1:23" ht="21" customHeight="1">
      <c r="A325" s="84"/>
      <c r="B325" s="86"/>
      <c r="C325" s="87"/>
      <c r="D325" s="85"/>
      <c r="E325" s="86"/>
      <c r="F325" s="88"/>
      <c r="G325" s="86"/>
      <c r="H325" s="86"/>
      <c r="I325" s="85"/>
      <c r="J325" s="85"/>
      <c r="K325" s="85"/>
      <c r="L325" s="85"/>
      <c r="M325" s="85"/>
      <c r="N325" s="86"/>
      <c r="O325" s="84"/>
      <c r="P325" s="85"/>
      <c r="Q325" s="85"/>
      <c r="R325" s="85"/>
      <c r="S325" s="85"/>
      <c r="T325" s="85"/>
      <c r="U325" s="85"/>
      <c r="V325" s="85"/>
      <c r="W325" s="85"/>
    </row>
    <row r="326" spans="1:23" ht="21" customHeight="1">
      <c r="A326" s="84"/>
      <c r="B326" s="86"/>
      <c r="C326" s="87"/>
      <c r="D326" s="85"/>
      <c r="E326" s="86"/>
      <c r="F326" s="88"/>
      <c r="G326" s="86"/>
      <c r="H326" s="86"/>
      <c r="I326" s="85"/>
      <c r="J326" s="85"/>
      <c r="K326" s="85"/>
      <c r="L326" s="85"/>
      <c r="M326" s="85"/>
      <c r="N326" s="86"/>
      <c r="O326" s="84"/>
      <c r="P326" s="85"/>
      <c r="Q326" s="85"/>
      <c r="R326" s="85"/>
      <c r="S326" s="85"/>
      <c r="T326" s="85"/>
      <c r="U326" s="85"/>
      <c r="V326" s="85"/>
      <c r="W326" s="85"/>
    </row>
    <row r="327" spans="1:23" ht="21" customHeight="1">
      <c r="A327" s="84"/>
      <c r="B327" s="86"/>
      <c r="C327" s="87"/>
      <c r="D327" s="85"/>
      <c r="E327" s="86"/>
      <c r="F327" s="88"/>
      <c r="G327" s="86"/>
      <c r="H327" s="86"/>
      <c r="I327" s="85"/>
      <c r="J327" s="85"/>
      <c r="K327" s="85"/>
      <c r="L327" s="85"/>
      <c r="M327" s="85"/>
      <c r="N327" s="86"/>
      <c r="O327" s="84"/>
      <c r="P327" s="85"/>
      <c r="Q327" s="85"/>
      <c r="R327" s="85"/>
      <c r="S327" s="85"/>
      <c r="T327" s="85"/>
      <c r="U327" s="85"/>
      <c r="V327" s="85"/>
      <c r="W327" s="85"/>
    </row>
    <row r="328" spans="1:23" ht="21" customHeight="1">
      <c r="A328" s="84"/>
      <c r="B328" s="86"/>
      <c r="C328" s="87"/>
      <c r="D328" s="85"/>
      <c r="E328" s="86"/>
      <c r="F328" s="88"/>
      <c r="G328" s="86"/>
      <c r="H328" s="86"/>
      <c r="I328" s="85"/>
      <c r="J328" s="85"/>
      <c r="K328" s="85"/>
      <c r="L328" s="85"/>
      <c r="M328" s="85"/>
      <c r="N328" s="86"/>
      <c r="O328" s="84"/>
      <c r="P328" s="85"/>
      <c r="Q328" s="85"/>
      <c r="R328" s="85"/>
      <c r="S328" s="85"/>
      <c r="T328" s="85"/>
      <c r="U328" s="85"/>
      <c r="V328" s="85"/>
      <c r="W328" s="85"/>
    </row>
    <row r="329" spans="1:23" ht="21" customHeight="1">
      <c r="A329" s="84"/>
      <c r="B329" s="86"/>
      <c r="C329" s="87"/>
      <c r="D329" s="85"/>
      <c r="E329" s="86"/>
      <c r="F329" s="88"/>
      <c r="G329" s="86"/>
      <c r="H329" s="86"/>
      <c r="I329" s="85"/>
      <c r="J329" s="85"/>
      <c r="K329" s="85"/>
      <c r="L329" s="85"/>
      <c r="M329" s="85"/>
      <c r="N329" s="86"/>
      <c r="O329" s="84"/>
      <c r="P329" s="85"/>
      <c r="Q329" s="85"/>
      <c r="R329" s="85"/>
      <c r="S329" s="85"/>
      <c r="T329" s="85"/>
      <c r="U329" s="85"/>
      <c r="V329" s="85"/>
      <c r="W329" s="85"/>
    </row>
    <row r="330" spans="1:23" ht="21" customHeight="1">
      <c r="A330" s="84"/>
      <c r="B330" s="86"/>
      <c r="C330" s="87"/>
      <c r="D330" s="85"/>
      <c r="E330" s="86"/>
      <c r="F330" s="88"/>
      <c r="G330" s="86"/>
      <c r="H330" s="86"/>
      <c r="I330" s="85"/>
      <c r="J330" s="85"/>
      <c r="K330" s="85"/>
      <c r="L330" s="85"/>
      <c r="M330" s="85"/>
      <c r="N330" s="86"/>
      <c r="O330" s="84"/>
      <c r="P330" s="85"/>
      <c r="Q330" s="85"/>
      <c r="R330" s="85"/>
      <c r="S330" s="85"/>
      <c r="T330" s="85"/>
      <c r="U330" s="85"/>
      <c r="V330" s="85"/>
      <c r="W330" s="85"/>
    </row>
    <row r="331" spans="1:23" ht="21" customHeight="1">
      <c r="A331" s="84"/>
      <c r="B331" s="86"/>
      <c r="C331" s="87"/>
      <c r="D331" s="85"/>
      <c r="E331" s="86"/>
      <c r="F331" s="88"/>
      <c r="G331" s="86"/>
      <c r="H331" s="86"/>
      <c r="I331" s="85"/>
      <c r="J331" s="85"/>
      <c r="K331" s="85"/>
      <c r="L331" s="85"/>
      <c r="M331" s="85"/>
      <c r="N331" s="86"/>
      <c r="O331" s="84"/>
      <c r="P331" s="85"/>
      <c r="Q331" s="85"/>
      <c r="R331" s="85"/>
      <c r="S331" s="85"/>
      <c r="T331" s="85"/>
      <c r="U331" s="85"/>
      <c r="V331" s="85"/>
      <c r="W331" s="85"/>
    </row>
    <row r="332" spans="1:23" ht="21" customHeight="1">
      <c r="A332" s="84"/>
      <c r="B332" s="86"/>
      <c r="C332" s="87"/>
      <c r="D332" s="85"/>
      <c r="E332" s="86"/>
      <c r="F332" s="88"/>
      <c r="G332" s="86"/>
      <c r="H332" s="86"/>
      <c r="I332" s="85"/>
      <c r="J332" s="85"/>
      <c r="K332" s="85"/>
      <c r="L332" s="85"/>
      <c r="M332" s="85"/>
      <c r="N332" s="86"/>
      <c r="O332" s="84"/>
      <c r="P332" s="85"/>
      <c r="Q332" s="85"/>
      <c r="R332" s="85"/>
      <c r="S332" s="85"/>
      <c r="T332" s="85"/>
      <c r="U332" s="85"/>
      <c r="V332" s="85"/>
      <c r="W332" s="85"/>
    </row>
    <row r="333" spans="1:23" ht="21" customHeight="1">
      <c r="A333" s="84"/>
      <c r="B333" s="86"/>
      <c r="C333" s="87"/>
      <c r="D333" s="85"/>
      <c r="E333" s="86"/>
      <c r="F333" s="88"/>
      <c r="G333" s="86"/>
      <c r="H333" s="86"/>
      <c r="I333" s="85"/>
      <c r="J333" s="85"/>
      <c r="K333" s="85"/>
      <c r="L333" s="85"/>
      <c r="M333" s="85"/>
      <c r="N333" s="86"/>
      <c r="O333" s="84"/>
      <c r="P333" s="85"/>
      <c r="Q333" s="85"/>
      <c r="R333" s="85"/>
      <c r="S333" s="85"/>
      <c r="T333" s="85"/>
      <c r="U333" s="85"/>
      <c r="V333" s="85"/>
      <c r="W333" s="85"/>
    </row>
    <row r="334" spans="1:23" ht="21" customHeight="1">
      <c r="A334" s="84"/>
      <c r="B334" s="86"/>
      <c r="C334" s="87"/>
      <c r="D334" s="85"/>
      <c r="E334" s="86"/>
      <c r="F334" s="88"/>
      <c r="G334" s="86"/>
      <c r="H334" s="86"/>
      <c r="I334" s="85"/>
      <c r="J334" s="85"/>
      <c r="K334" s="85"/>
      <c r="L334" s="85"/>
      <c r="M334" s="85"/>
      <c r="N334" s="86"/>
      <c r="O334" s="84"/>
      <c r="P334" s="85"/>
      <c r="Q334" s="85"/>
      <c r="R334" s="85"/>
      <c r="S334" s="85"/>
      <c r="T334" s="85"/>
      <c r="U334" s="85"/>
      <c r="V334" s="85"/>
      <c r="W334" s="85"/>
    </row>
    <row r="335" spans="1:23" ht="21" customHeight="1">
      <c r="A335" s="84"/>
      <c r="B335" s="86"/>
      <c r="C335" s="87"/>
      <c r="D335" s="85"/>
      <c r="E335" s="86"/>
      <c r="F335" s="88"/>
      <c r="G335" s="86"/>
      <c r="H335" s="86"/>
      <c r="I335" s="85"/>
      <c r="J335" s="85"/>
      <c r="K335" s="85"/>
      <c r="L335" s="85"/>
      <c r="M335" s="85"/>
      <c r="N335" s="86"/>
      <c r="O335" s="84"/>
      <c r="P335" s="85"/>
      <c r="Q335" s="85"/>
      <c r="R335" s="85"/>
      <c r="S335" s="85"/>
      <c r="T335" s="85"/>
      <c r="U335" s="85"/>
      <c r="V335" s="85"/>
      <c r="W335" s="85"/>
    </row>
    <row r="336" spans="1:23" ht="21" customHeight="1">
      <c r="A336" s="84"/>
      <c r="B336" s="86"/>
      <c r="C336" s="87"/>
      <c r="D336" s="85"/>
      <c r="E336" s="86"/>
      <c r="F336" s="88"/>
      <c r="G336" s="86"/>
      <c r="H336" s="86"/>
      <c r="I336" s="85"/>
      <c r="J336" s="85"/>
      <c r="K336" s="85"/>
      <c r="L336" s="85"/>
      <c r="M336" s="85"/>
      <c r="N336" s="86"/>
      <c r="O336" s="84"/>
      <c r="P336" s="85"/>
      <c r="Q336" s="85"/>
      <c r="R336" s="85"/>
      <c r="S336" s="85"/>
      <c r="T336" s="85"/>
      <c r="U336" s="85"/>
      <c r="V336" s="85"/>
      <c r="W336" s="85"/>
    </row>
    <row r="337" spans="1:23" ht="21" customHeight="1">
      <c r="A337" s="84"/>
      <c r="B337" s="86"/>
      <c r="C337" s="87"/>
      <c r="D337" s="85"/>
      <c r="E337" s="86"/>
      <c r="F337" s="88"/>
      <c r="G337" s="86"/>
      <c r="H337" s="86"/>
      <c r="I337" s="85"/>
      <c r="J337" s="85"/>
      <c r="K337" s="85"/>
      <c r="L337" s="85"/>
      <c r="M337" s="85"/>
      <c r="N337" s="86"/>
      <c r="O337" s="84"/>
      <c r="P337" s="85"/>
      <c r="Q337" s="85"/>
      <c r="R337" s="85"/>
      <c r="S337" s="85"/>
      <c r="T337" s="85"/>
      <c r="U337" s="85"/>
      <c r="V337" s="85"/>
      <c r="W337" s="85"/>
    </row>
    <row r="338" spans="1:23" ht="21" customHeight="1">
      <c r="A338" s="84"/>
      <c r="B338" s="86"/>
      <c r="C338" s="87"/>
      <c r="D338" s="85"/>
      <c r="E338" s="86"/>
      <c r="F338" s="88"/>
      <c r="G338" s="86"/>
      <c r="H338" s="86"/>
      <c r="I338" s="85"/>
      <c r="J338" s="85"/>
      <c r="K338" s="85"/>
      <c r="L338" s="85"/>
      <c r="M338" s="85"/>
      <c r="N338" s="86"/>
      <c r="O338" s="84"/>
      <c r="P338" s="85"/>
      <c r="Q338" s="85"/>
      <c r="R338" s="85"/>
      <c r="S338" s="85"/>
      <c r="T338" s="85"/>
      <c r="U338" s="85"/>
      <c r="V338" s="85"/>
      <c r="W338" s="85"/>
    </row>
    <row r="339" spans="1:23" ht="21" customHeight="1">
      <c r="A339" s="84"/>
      <c r="B339" s="86"/>
      <c r="C339" s="87"/>
      <c r="D339" s="85"/>
      <c r="E339" s="86"/>
      <c r="F339" s="88"/>
      <c r="G339" s="86"/>
      <c r="H339" s="86"/>
      <c r="I339" s="85"/>
      <c r="J339" s="85"/>
      <c r="K339" s="85"/>
      <c r="L339" s="85"/>
      <c r="M339" s="85"/>
      <c r="N339" s="86"/>
      <c r="O339" s="84"/>
      <c r="P339" s="85"/>
      <c r="Q339" s="85"/>
      <c r="R339" s="85"/>
      <c r="S339" s="85"/>
      <c r="T339" s="85"/>
      <c r="U339" s="85"/>
      <c r="V339" s="85"/>
      <c r="W339" s="85"/>
    </row>
    <row r="340" spans="1:23" ht="21" customHeight="1">
      <c r="A340" s="84"/>
      <c r="B340" s="86"/>
      <c r="C340" s="87"/>
      <c r="D340" s="85"/>
      <c r="E340" s="86"/>
      <c r="F340" s="88"/>
      <c r="G340" s="86"/>
      <c r="H340" s="86"/>
      <c r="I340" s="85"/>
      <c r="J340" s="85"/>
      <c r="K340" s="85"/>
      <c r="L340" s="85"/>
      <c r="M340" s="85"/>
      <c r="N340" s="86"/>
      <c r="O340" s="84"/>
      <c r="P340" s="85"/>
      <c r="Q340" s="85"/>
      <c r="R340" s="85"/>
      <c r="S340" s="85"/>
      <c r="T340" s="85"/>
      <c r="U340" s="85"/>
      <c r="V340" s="85"/>
      <c r="W340" s="85"/>
    </row>
    <row r="341" spans="1:23" ht="21" customHeight="1">
      <c r="A341" s="84"/>
      <c r="B341" s="86"/>
      <c r="C341" s="87"/>
      <c r="D341" s="85"/>
      <c r="E341" s="86"/>
      <c r="F341" s="88"/>
      <c r="G341" s="86"/>
      <c r="H341" s="86"/>
      <c r="I341" s="85"/>
      <c r="J341" s="85"/>
      <c r="K341" s="85"/>
      <c r="L341" s="85"/>
      <c r="M341" s="85"/>
      <c r="N341" s="86"/>
      <c r="O341" s="84"/>
      <c r="P341" s="85"/>
      <c r="Q341" s="85"/>
      <c r="R341" s="85"/>
      <c r="S341" s="85"/>
      <c r="T341" s="85"/>
      <c r="U341" s="85"/>
      <c r="V341" s="85"/>
      <c r="W341" s="85"/>
    </row>
    <row r="342" spans="1:23" ht="21" customHeight="1">
      <c r="A342" s="84"/>
      <c r="B342" s="86"/>
      <c r="C342" s="87"/>
      <c r="D342" s="85"/>
      <c r="E342" s="86"/>
      <c r="F342" s="88"/>
      <c r="G342" s="86"/>
      <c r="H342" s="86"/>
      <c r="I342" s="85"/>
      <c r="J342" s="85"/>
      <c r="K342" s="85"/>
      <c r="L342" s="85"/>
      <c r="M342" s="85"/>
      <c r="N342" s="86"/>
      <c r="O342" s="84"/>
      <c r="P342" s="85"/>
      <c r="Q342" s="85"/>
      <c r="R342" s="85"/>
      <c r="S342" s="85"/>
      <c r="T342" s="85"/>
      <c r="U342" s="85"/>
      <c r="V342" s="85"/>
      <c r="W342" s="85"/>
    </row>
    <row r="343" spans="1:23" ht="21" customHeight="1">
      <c r="A343" s="84"/>
      <c r="B343" s="86"/>
      <c r="C343" s="87"/>
      <c r="D343" s="85"/>
      <c r="E343" s="86"/>
      <c r="F343" s="88"/>
      <c r="G343" s="86"/>
      <c r="H343" s="86"/>
      <c r="I343" s="85"/>
      <c r="J343" s="85"/>
      <c r="K343" s="85"/>
      <c r="L343" s="85"/>
      <c r="M343" s="85"/>
      <c r="N343" s="86"/>
      <c r="O343" s="84"/>
      <c r="P343" s="85"/>
      <c r="Q343" s="85"/>
      <c r="R343" s="85"/>
      <c r="S343" s="85"/>
      <c r="T343" s="85"/>
      <c r="U343" s="85"/>
      <c r="V343" s="85"/>
      <c r="W343" s="85"/>
    </row>
    <row r="344" spans="1:23" ht="21" customHeight="1">
      <c r="A344" s="84"/>
      <c r="B344" s="86"/>
      <c r="C344" s="87"/>
      <c r="D344" s="85"/>
      <c r="E344" s="86"/>
      <c r="F344" s="88"/>
      <c r="G344" s="86"/>
      <c r="H344" s="86"/>
      <c r="I344" s="85"/>
      <c r="J344" s="85"/>
      <c r="K344" s="85"/>
      <c r="L344" s="85"/>
      <c r="M344" s="85"/>
      <c r="N344" s="86"/>
      <c r="O344" s="84"/>
      <c r="P344" s="85"/>
      <c r="Q344" s="85"/>
      <c r="R344" s="85"/>
      <c r="S344" s="85"/>
      <c r="T344" s="85"/>
      <c r="U344" s="85"/>
      <c r="V344" s="85"/>
      <c r="W344" s="85"/>
    </row>
    <row r="345" spans="1:23" ht="21" customHeight="1">
      <c r="A345" s="84"/>
      <c r="B345" s="86"/>
      <c r="C345" s="87"/>
      <c r="D345" s="85"/>
      <c r="E345" s="86"/>
      <c r="F345" s="88"/>
      <c r="G345" s="86"/>
      <c r="H345" s="86"/>
      <c r="I345" s="85"/>
      <c r="J345" s="85"/>
      <c r="K345" s="85"/>
      <c r="L345" s="85"/>
      <c r="M345" s="85"/>
      <c r="N345" s="86"/>
      <c r="O345" s="84"/>
      <c r="P345" s="85"/>
      <c r="Q345" s="85"/>
      <c r="R345" s="85"/>
      <c r="S345" s="85"/>
      <c r="T345" s="85"/>
      <c r="U345" s="85"/>
      <c r="V345" s="85"/>
      <c r="W345" s="85"/>
    </row>
    <row r="346" spans="1:23" ht="21" customHeight="1">
      <c r="A346" s="84"/>
      <c r="B346" s="86"/>
      <c r="C346" s="87"/>
      <c r="D346" s="85"/>
      <c r="E346" s="86"/>
      <c r="F346" s="88"/>
      <c r="G346" s="86"/>
      <c r="H346" s="86"/>
      <c r="I346" s="85"/>
      <c r="J346" s="85"/>
      <c r="K346" s="85"/>
      <c r="L346" s="85"/>
      <c r="M346" s="85"/>
      <c r="N346" s="86"/>
      <c r="O346" s="84"/>
      <c r="P346" s="85"/>
      <c r="Q346" s="85"/>
      <c r="R346" s="85"/>
      <c r="S346" s="85"/>
      <c r="T346" s="85"/>
      <c r="U346" s="85"/>
      <c r="V346" s="85"/>
      <c r="W346" s="85"/>
    </row>
    <row r="347" spans="1:23" ht="21" customHeight="1">
      <c r="A347" s="84"/>
      <c r="B347" s="86"/>
      <c r="C347" s="87"/>
      <c r="D347" s="85"/>
      <c r="E347" s="86"/>
      <c r="F347" s="88"/>
      <c r="G347" s="86"/>
      <c r="H347" s="86"/>
      <c r="I347" s="85"/>
      <c r="J347" s="85"/>
      <c r="K347" s="85"/>
      <c r="L347" s="85"/>
      <c r="M347" s="85"/>
      <c r="N347" s="86"/>
      <c r="O347" s="84"/>
      <c r="P347" s="85"/>
      <c r="Q347" s="85"/>
      <c r="R347" s="85"/>
      <c r="S347" s="85"/>
      <c r="T347" s="85"/>
      <c r="U347" s="85"/>
      <c r="V347" s="85"/>
      <c r="W347" s="85"/>
    </row>
    <row r="348" spans="1:23" ht="21" customHeight="1">
      <c r="A348" s="84"/>
      <c r="B348" s="86"/>
      <c r="C348" s="87"/>
      <c r="D348" s="85"/>
      <c r="E348" s="86"/>
      <c r="F348" s="88"/>
      <c r="G348" s="86"/>
      <c r="H348" s="86"/>
      <c r="I348" s="85"/>
      <c r="J348" s="85"/>
      <c r="K348" s="85"/>
      <c r="L348" s="85"/>
      <c r="M348" s="85"/>
      <c r="N348" s="86"/>
      <c r="O348" s="84"/>
      <c r="P348" s="85"/>
      <c r="Q348" s="85"/>
      <c r="R348" s="85"/>
      <c r="S348" s="85"/>
      <c r="T348" s="85"/>
      <c r="U348" s="85"/>
      <c r="V348" s="85"/>
      <c r="W348" s="85"/>
    </row>
    <row r="349" spans="1:23" ht="21" customHeight="1">
      <c r="A349" s="84"/>
      <c r="B349" s="86"/>
      <c r="C349" s="87"/>
      <c r="D349" s="85"/>
      <c r="E349" s="86"/>
      <c r="F349" s="88"/>
      <c r="G349" s="86"/>
      <c r="H349" s="86"/>
      <c r="I349" s="85"/>
      <c r="J349" s="85"/>
      <c r="K349" s="85"/>
      <c r="L349" s="85"/>
      <c r="M349" s="85"/>
      <c r="N349" s="86"/>
      <c r="O349" s="84"/>
      <c r="P349" s="85"/>
      <c r="Q349" s="85"/>
      <c r="R349" s="85"/>
      <c r="S349" s="85"/>
      <c r="T349" s="85"/>
      <c r="U349" s="85"/>
      <c r="V349" s="85"/>
      <c r="W349" s="85"/>
    </row>
    <row r="350" spans="1:23" ht="21" customHeight="1">
      <c r="A350" s="84"/>
      <c r="B350" s="86"/>
      <c r="C350" s="87"/>
      <c r="D350" s="85"/>
      <c r="E350" s="86"/>
      <c r="F350" s="88"/>
      <c r="G350" s="86"/>
      <c r="H350" s="86"/>
      <c r="I350" s="85"/>
      <c r="J350" s="85"/>
      <c r="K350" s="85"/>
      <c r="L350" s="85"/>
      <c r="M350" s="85"/>
      <c r="N350" s="86"/>
      <c r="O350" s="84"/>
      <c r="P350" s="85"/>
      <c r="Q350" s="85"/>
      <c r="R350" s="85"/>
      <c r="S350" s="85"/>
      <c r="T350" s="85"/>
      <c r="U350" s="85"/>
      <c r="V350" s="85"/>
      <c r="W350" s="85"/>
    </row>
    <row r="351" spans="1:23" ht="21" customHeight="1">
      <c r="A351" s="84"/>
      <c r="B351" s="86"/>
      <c r="C351" s="87"/>
      <c r="D351" s="85"/>
      <c r="E351" s="86"/>
      <c r="F351" s="88"/>
      <c r="G351" s="86"/>
      <c r="H351" s="86"/>
      <c r="I351" s="85"/>
      <c r="J351" s="85"/>
      <c r="K351" s="85"/>
      <c r="L351" s="85"/>
      <c r="M351" s="85"/>
      <c r="N351" s="86"/>
      <c r="O351" s="84"/>
      <c r="P351" s="85"/>
      <c r="Q351" s="85"/>
      <c r="R351" s="85"/>
      <c r="S351" s="85"/>
      <c r="T351" s="85"/>
      <c r="U351" s="85"/>
      <c r="V351" s="85"/>
      <c r="W351" s="85"/>
    </row>
    <row r="352" spans="1:23" ht="21" customHeight="1">
      <c r="A352" s="84"/>
      <c r="B352" s="86"/>
      <c r="C352" s="87"/>
      <c r="D352" s="85"/>
      <c r="E352" s="86"/>
      <c r="F352" s="88"/>
      <c r="G352" s="86"/>
      <c r="H352" s="86"/>
      <c r="I352" s="85"/>
      <c r="J352" s="85"/>
      <c r="K352" s="85"/>
      <c r="L352" s="85"/>
      <c r="M352" s="85"/>
      <c r="N352" s="86"/>
      <c r="O352" s="84"/>
      <c r="P352" s="85"/>
      <c r="Q352" s="85"/>
      <c r="R352" s="85"/>
      <c r="S352" s="85"/>
      <c r="T352" s="85"/>
      <c r="U352" s="85"/>
      <c r="V352" s="85"/>
      <c r="W352" s="85"/>
    </row>
    <row r="353" spans="1:23" ht="21" customHeight="1">
      <c r="A353" s="84"/>
      <c r="B353" s="86"/>
      <c r="C353" s="87"/>
      <c r="D353" s="85"/>
      <c r="E353" s="86"/>
      <c r="F353" s="88"/>
      <c r="G353" s="86"/>
      <c r="H353" s="86"/>
      <c r="I353" s="85"/>
      <c r="J353" s="85"/>
      <c r="K353" s="85"/>
      <c r="L353" s="85"/>
      <c r="M353" s="85"/>
      <c r="N353" s="86"/>
      <c r="O353" s="84"/>
      <c r="P353" s="85"/>
      <c r="Q353" s="85"/>
      <c r="R353" s="85"/>
      <c r="S353" s="85"/>
      <c r="T353" s="85"/>
      <c r="U353" s="85"/>
      <c r="V353" s="85"/>
      <c r="W353" s="85"/>
    </row>
    <row r="354" spans="1:23" ht="21" customHeight="1">
      <c r="A354" s="84"/>
      <c r="B354" s="86"/>
      <c r="C354" s="87"/>
      <c r="D354" s="85"/>
      <c r="E354" s="86"/>
      <c r="F354" s="88"/>
      <c r="G354" s="86"/>
      <c r="H354" s="86"/>
      <c r="I354" s="85"/>
      <c r="J354" s="85"/>
      <c r="K354" s="85"/>
      <c r="L354" s="85"/>
      <c r="M354" s="85"/>
      <c r="N354" s="86"/>
      <c r="O354" s="84"/>
      <c r="P354" s="85"/>
      <c r="Q354" s="85"/>
      <c r="R354" s="85"/>
      <c r="S354" s="85"/>
      <c r="T354" s="85"/>
      <c r="U354" s="85"/>
      <c r="V354" s="85"/>
      <c r="W354" s="85"/>
    </row>
    <row r="355" spans="1:23" ht="21" customHeight="1">
      <c r="A355" s="84"/>
      <c r="B355" s="86"/>
      <c r="C355" s="87"/>
      <c r="D355" s="85"/>
      <c r="E355" s="86"/>
      <c r="F355" s="88"/>
      <c r="G355" s="86"/>
      <c r="H355" s="86"/>
      <c r="I355" s="85"/>
      <c r="J355" s="85"/>
      <c r="K355" s="85"/>
      <c r="L355" s="85"/>
      <c r="M355" s="85"/>
      <c r="N355" s="86"/>
      <c r="O355" s="84"/>
      <c r="P355" s="85"/>
      <c r="Q355" s="85"/>
      <c r="R355" s="85"/>
      <c r="S355" s="85"/>
      <c r="T355" s="85"/>
      <c r="U355" s="85"/>
      <c r="V355" s="85"/>
      <c r="W355" s="85"/>
    </row>
    <row r="356" spans="1:23" ht="21" customHeight="1">
      <c r="A356" s="84"/>
      <c r="B356" s="86"/>
      <c r="C356" s="87"/>
      <c r="D356" s="85"/>
      <c r="E356" s="86"/>
      <c r="F356" s="88"/>
      <c r="G356" s="86"/>
      <c r="H356" s="86"/>
      <c r="I356" s="85"/>
      <c r="J356" s="85"/>
      <c r="K356" s="85"/>
      <c r="L356" s="85"/>
      <c r="M356" s="85"/>
      <c r="N356" s="86"/>
      <c r="O356" s="84"/>
      <c r="P356" s="85"/>
      <c r="Q356" s="85"/>
      <c r="R356" s="85"/>
      <c r="S356" s="85"/>
      <c r="T356" s="85"/>
      <c r="U356" s="85"/>
      <c r="V356" s="85"/>
      <c r="W356" s="85"/>
    </row>
    <row r="357" spans="1:23" ht="21" customHeight="1">
      <c r="A357" s="84"/>
      <c r="B357" s="86"/>
      <c r="C357" s="87"/>
      <c r="D357" s="85"/>
      <c r="E357" s="86"/>
      <c r="F357" s="88"/>
      <c r="G357" s="86"/>
      <c r="H357" s="86"/>
      <c r="I357" s="85"/>
      <c r="J357" s="85"/>
      <c r="K357" s="85"/>
      <c r="L357" s="85"/>
      <c r="M357" s="85"/>
      <c r="N357" s="86"/>
      <c r="O357" s="84"/>
      <c r="P357" s="85"/>
      <c r="Q357" s="85"/>
      <c r="R357" s="85"/>
      <c r="S357" s="85"/>
      <c r="T357" s="85"/>
      <c r="U357" s="85"/>
      <c r="V357" s="85"/>
      <c r="W357" s="85"/>
    </row>
    <row r="358" spans="1:23" ht="21" customHeight="1">
      <c r="A358" s="84"/>
      <c r="B358" s="86"/>
      <c r="C358" s="87"/>
      <c r="D358" s="85"/>
      <c r="E358" s="86"/>
      <c r="F358" s="88"/>
      <c r="G358" s="86"/>
      <c r="H358" s="86"/>
      <c r="I358" s="85"/>
      <c r="J358" s="85"/>
      <c r="K358" s="85"/>
      <c r="L358" s="85"/>
      <c r="M358" s="85"/>
      <c r="N358" s="86"/>
      <c r="O358" s="84"/>
      <c r="P358" s="85"/>
      <c r="Q358" s="85"/>
      <c r="R358" s="85"/>
      <c r="S358" s="85"/>
      <c r="T358" s="85"/>
      <c r="U358" s="85"/>
      <c r="V358" s="85"/>
      <c r="W358" s="85"/>
    </row>
    <row r="359" spans="1:23" ht="21" customHeight="1">
      <c r="A359" s="84"/>
      <c r="B359" s="86"/>
      <c r="C359" s="87"/>
      <c r="D359" s="85"/>
      <c r="E359" s="86"/>
      <c r="F359" s="88"/>
      <c r="G359" s="86"/>
      <c r="H359" s="86"/>
      <c r="I359" s="85"/>
      <c r="J359" s="85"/>
      <c r="K359" s="85"/>
      <c r="L359" s="85"/>
      <c r="M359" s="85"/>
      <c r="N359" s="86"/>
      <c r="O359" s="84"/>
      <c r="P359" s="85"/>
      <c r="Q359" s="85"/>
      <c r="R359" s="85"/>
      <c r="S359" s="85"/>
      <c r="T359" s="85"/>
      <c r="U359" s="85"/>
      <c r="V359" s="85"/>
      <c r="W359" s="85"/>
    </row>
    <row r="360" spans="1:23" ht="21" customHeight="1">
      <c r="A360" s="84"/>
      <c r="B360" s="86"/>
      <c r="C360" s="87"/>
      <c r="D360" s="85"/>
      <c r="E360" s="86"/>
      <c r="F360" s="88"/>
      <c r="G360" s="86"/>
      <c r="H360" s="86"/>
      <c r="I360" s="85"/>
      <c r="J360" s="85"/>
      <c r="K360" s="85"/>
      <c r="L360" s="85"/>
      <c r="M360" s="85"/>
      <c r="N360" s="86"/>
      <c r="O360" s="84"/>
      <c r="P360" s="85"/>
      <c r="Q360" s="85"/>
      <c r="R360" s="85"/>
      <c r="S360" s="85"/>
      <c r="T360" s="85"/>
      <c r="U360" s="85"/>
      <c r="V360" s="85"/>
      <c r="W360" s="85"/>
    </row>
    <row r="361" spans="1:23" ht="21" customHeight="1">
      <c r="A361" s="84"/>
      <c r="B361" s="86"/>
      <c r="C361" s="87"/>
      <c r="D361" s="85"/>
      <c r="E361" s="86"/>
      <c r="F361" s="88"/>
      <c r="G361" s="86"/>
      <c r="H361" s="86"/>
      <c r="I361" s="85"/>
      <c r="J361" s="85"/>
      <c r="K361" s="85"/>
      <c r="L361" s="85"/>
      <c r="M361" s="85"/>
      <c r="N361" s="86"/>
      <c r="O361" s="84"/>
      <c r="P361" s="85"/>
      <c r="Q361" s="85"/>
      <c r="R361" s="85"/>
      <c r="S361" s="85"/>
      <c r="T361" s="85"/>
      <c r="U361" s="85"/>
      <c r="V361" s="85"/>
      <c r="W361" s="85"/>
    </row>
    <row r="362" spans="1:23" ht="21" customHeight="1">
      <c r="A362" s="84"/>
      <c r="B362" s="86"/>
      <c r="C362" s="87"/>
      <c r="D362" s="85"/>
      <c r="E362" s="86"/>
      <c r="F362" s="88"/>
      <c r="G362" s="86"/>
      <c r="H362" s="86"/>
      <c r="I362" s="85"/>
      <c r="J362" s="85"/>
      <c r="K362" s="85"/>
      <c r="L362" s="85"/>
      <c r="M362" s="85"/>
      <c r="N362" s="86"/>
      <c r="O362" s="84"/>
      <c r="P362" s="85"/>
      <c r="Q362" s="85"/>
      <c r="R362" s="85"/>
      <c r="S362" s="85"/>
      <c r="T362" s="85"/>
      <c r="U362" s="85"/>
      <c r="V362" s="85"/>
      <c r="W362" s="85"/>
    </row>
    <row r="363" spans="1:23" ht="21" customHeight="1">
      <c r="A363" s="84"/>
      <c r="B363" s="86"/>
      <c r="C363" s="87"/>
      <c r="D363" s="85"/>
      <c r="E363" s="86"/>
      <c r="F363" s="88"/>
      <c r="G363" s="86"/>
      <c r="H363" s="86"/>
      <c r="I363" s="85"/>
      <c r="J363" s="85"/>
      <c r="K363" s="85"/>
      <c r="L363" s="85"/>
      <c r="M363" s="85"/>
      <c r="N363" s="86"/>
      <c r="O363" s="84"/>
      <c r="P363" s="85"/>
      <c r="Q363" s="85"/>
      <c r="R363" s="85"/>
      <c r="S363" s="85"/>
      <c r="T363" s="85"/>
      <c r="U363" s="85"/>
      <c r="V363" s="85"/>
      <c r="W363" s="85"/>
    </row>
    <row r="364" spans="1:23" ht="21" customHeight="1">
      <c r="A364" s="84"/>
      <c r="B364" s="86"/>
      <c r="C364" s="87"/>
      <c r="D364" s="85"/>
      <c r="E364" s="86"/>
      <c r="F364" s="88"/>
      <c r="G364" s="86"/>
      <c r="H364" s="86"/>
      <c r="I364" s="85"/>
      <c r="J364" s="85"/>
      <c r="K364" s="85"/>
      <c r="L364" s="85"/>
      <c r="M364" s="85"/>
      <c r="N364" s="86"/>
      <c r="O364" s="84"/>
      <c r="P364" s="85"/>
      <c r="Q364" s="85"/>
      <c r="R364" s="85"/>
      <c r="S364" s="85"/>
      <c r="T364" s="85"/>
      <c r="U364" s="85"/>
      <c r="V364" s="85"/>
      <c r="W364" s="85"/>
    </row>
    <row r="365" spans="1:23" ht="21" customHeight="1">
      <c r="A365" s="84"/>
      <c r="B365" s="86"/>
      <c r="C365" s="87"/>
      <c r="D365" s="85"/>
      <c r="E365" s="86"/>
      <c r="F365" s="88"/>
      <c r="G365" s="86"/>
      <c r="H365" s="86"/>
      <c r="I365" s="85"/>
      <c r="J365" s="85"/>
      <c r="K365" s="85"/>
      <c r="L365" s="85"/>
      <c r="M365" s="85"/>
      <c r="N365" s="86"/>
      <c r="O365" s="84"/>
      <c r="P365" s="85"/>
      <c r="Q365" s="85"/>
      <c r="R365" s="85"/>
      <c r="S365" s="85"/>
      <c r="T365" s="85"/>
      <c r="U365" s="85"/>
      <c r="V365" s="85"/>
      <c r="W365" s="85"/>
    </row>
    <row r="366" spans="1:23" ht="21" customHeight="1">
      <c r="A366" s="84"/>
      <c r="B366" s="86"/>
      <c r="C366" s="87"/>
      <c r="D366" s="85"/>
      <c r="E366" s="86"/>
      <c r="F366" s="88"/>
      <c r="G366" s="86"/>
      <c r="H366" s="86"/>
      <c r="I366" s="85"/>
      <c r="J366" s="85"/>
      <c r="K366" s="85"/>
      <c r="L366" s="85"/>
      <c r="M366" s="85"/>
      <c r="N366" s="86"/>
      <c r="O366" s="84"/>
      <c r="P366" s="85"/>
      <c r="Q366" s="85"/>
      <c r="R366" s="85"/>
      <c r="S366" s="85"/>
      <c r="T366" s="85"/>
      <c r="U366" s="85"/>
      <c r="V366" s="85"/>
      <c r="W366" s="85"/>
    </row>
    <row r="367" spans="1:23" ht="21" customHeight="1">
      <c r="A367" s="84"/>
      <c r="B367" s="86"/>
      <c r="C367" s="87"/>
      <c r="D367" s="85"/>
      <c r="E367" s="86"/>
      <c r="F367" s="88"/>
      <c r="G367" s="86"/>
      <c r="H367" s="86"/>
      <c r="I367" s="85"/>
      <c r="J367" s="85"/>
      <c r="K367" s="85"/>
      <c r="L367" s="85"/>
      <c r="M367" s="85"/>
      <c r="N367" s="86"/>
      <c r="O367" s="84"/>
      <c r="P367" s="85"/>
      <c r="Q367" s="85"/>
      <c r="R367" s="85"/>
      <c r="S367" s="85"/>
      <c r="T367" s="85"/>
      <c r="U367" s="85"/>
      <c r="V367" s="85"/>
      <c r="W367" s="85"/>
    </row>
    <row r="368" spans="1:23" ht="21" customHeight="1">
      <c r="A368" s="84"/>
      <c r="B368" s="86"/>
      <c r="C368" s="87"/>
      <c r="D368" s="85"/>
      <c r="E368" s="86"/>
      <c r="F368" s="88"/>
      <c r="G368" s="86"/>
      <c r="H368" s="86"/>
      <c r="I368" s="85"/>
      <c r="J368" s="85"/>
      <c r="K368" s="85"/>
      <c r="L368" s="85"/>
      <c r="M368" s="85"/>
      <c r="N368" s="86"/>
      <c r="O368" s="84"/>
      <c r="P368" s="85"/>
      <c r="Q368" s="85"/>
      <c r="R368" s="85"/>
      <c r="S368" s="85"/>
      <c r="T368" s="85"/>
      <c r="U368" s="85"/>
      <c r="V368" s="85"/>
      <c r="W368" s="85"/>
    </row>
    <row r="369" spans="1:23" ht="21" customHeight="1">
      <c r="A369" s="84"/>
      <c r="B369" s="86"/>
      <c r="C369" s="87"/>
      <c r="D369" s="85"/>
      <c r="E369" s="86"/>
      <c r="F369" s="88"/>
      <c r="G369" s="86"/>
      <c r="H369" s="86"/>
      <c r="I369" s="85"/>
      <c r="J369" s="85"/>
      <c r="K369" s="85"/>
      <c r="L369" s="85"/>
      <c r="M369" s="85"/>
      <c r="N369" s="86"/>
      <c r="O369" s="84"/>
      <c r="P369" s="85"/>
      <c r="Q369" s="85"/>
      <c r="R369" s="85"/>
      <c r="S369" s="85"/>
      <c r="T369" s="85"/>
      <c r="U369" s="85"/>
      <c r="V369" s="85"/>
      <c r="W369" s="85"/>
    </row>
    <row r="370" spans="1:23" ht="21" customHeight="1">
      <c r="A370" s="84"/>
      <c r="B370" s="86"/>
      <c r="C370" s="87"/>
      <c r="D370" s="85"/>
      <c r="E370" s="86"/>
      <c r="F370" s="88"/>
      <c r="G370" s="86"/>
      <c r="H370" s="86"/>
      <c r="I370" s="85"/>
      <c r="J370" s="85"/>
      <c r="K370" s="85"/>
      <c r="L370" s="85"/>
      <c r="M370" s="85"/>
      <c r="N370" s="86"/>
      <c r="O370" s="84"/>
      <c r="P370" s="85"/>
      <c r="Q370" s="85"/>
      <c r="R370" s="85"/>
      <c r="S370" s="85"/>
      <c r="T370" s="85"/>
      <c r="U370" s="85"/>
      <c r="V370" s="85"/>
      <c r="W370" s="85"/>
    </row>
    <row r="371" spans="1:23" ht="21" customHeight="1">
      <c r="A371" s="84"/>
      <c r="B371" s="86"/>
      <c r="C371" s="87"/>
      <c r="D371" s="85"/>
      <c r="E371" s="86"/>
      <c r="F371" s="88"/>
      <c r="G371" s="86"/>
      <c r="H371" s="86"/>
      <c r="I371" s="85"/>
      <c r="J371" s="85"/>
      <c r="K371" s="85"/>
      <c r="L371" s="85"/>
      <c r="M371" s="85"/>
      <c r="N371" s="86"/>
      <c r="O371" s="84"/>
      <c r="P371" s="85"/>
      <c r="Q371" s="85"/>
      <c r="R371" s="85"/>
      <c r="S371" s="85"/>
      <c r="T371" s="85"/>
      <c r="U371" s="85"/>
      <c r="V371" s="85"/>
      <c r="W371" s="85"/>
    </row>
    <row r="372" spans="1:23" ht="21" customHeight="1">
      <c r="A372" s="84"/>
      <c r="B372" s="86"/>
      <c r="C372" s="87"/>
      <c r="D372" s="85"/>
      <c r="E372" s="86"/>
      <c r="F372" s="88"/>
      <c r="G372" s="86"/>
      <c r="H372" s="86"/>
      <c r="I372" s="85"/>
      <c r="J372" s="85"/>
      <c r="K372" s="85"/>
      <c r="L372" s="85"/>
      <c r="M372" s="85"/>
      <c r="N372" s="86"/>
      <c r="O372" s="84"/>
      <c r="P372" s="85"/>
      <c r="Q372" s="85"/>
      <c r="R372" s="85"/>
      <c r="S372" s="85"/>
      <c r="T372" s="85"/>
      <c r="U372" s="85"/>
      <c r="V372" s="85"/>
      <c r="W372" s="85"/>
    </row>
    <row r="373" spans="1:23" ht="21" customHeight="1">
      <c r="A373" s="84"/>
      <c r="B373" s="86"/>
      <c r="C373" s="87"/>
      <c r="D373" s="85"/>
      <c r="E373" s="86"/>
      <c r="F373" s="88"/>
      <c r="G373" s="86"/>
      <c r="H373" s="86"/>
      <c r="I373" s="85"/>
      <c r="J373" s="85"/>
      <c r="K373" s="85"/>
      <c r="L373" s="85"/>
      <c r="M373" s="85"/>
      <c r="N373" s="86"/>
      <c r="O373" s="84"/>
      <c r="P373" s="85"/>
      <c r="Q373" s="85"/>
      <c r="R373" s="85"/>
      <c r="S373" s="85"/>
      <c r="T373" s="85"/>
      <c r="U373" s="85"/>
      <c r="V373" s="85"/>
      <c r="W373" s="85"/>
    </row>
    <row r="374" spans="1:23" ht="21" customHeight="1">
      <c r="A374" s="84"/>
      <c r="B374" s="86"/>
      <c r="C374" s="87"/>
      <c r="D374" s="85"/>
      <c r="E374" s="86"/>
      <c r="F374" s="88"/>
      <c r="G374" s="86"/>
      <c r="H374" s="86"/>
      <c r="I374" s="85"/>
      <c r="J374" s="85"/>
      <c r="K374" s="85"/>
      <c r="L374" s="85"/>
      <c r="M374" s="85"/>
      <c r="N374" s="86"/>
      <c r="O374" s="84"/>
      <c r="P374" s="85"/>
      <c r="Q374" s="85"/>
      <c r="R374" s="85"/>
      <c r="S374" s="85"/>
      <c r="T374" s="85"/>
      <c r="U374" s="85"/>
      <c r="V374" s="85"/>
      <c r="W374" s="85"/>
    </row>
    <row r="375" spans="1:23" ht="21" customHeight="1">
      <c r="A375" s="84"/>
      <c r="B375" s="86"/>
      <c r="C375" s="87"/>
      <c r="D375" s="85"/>
      <c r="E375" s="86"/>
      <c r="F375" s="88"/>
      <c r="G375" s="86"/>
      <c r="H375" s="86"/>
      <c r="I375" s="85"/>
      <c r="J375" s="85"/>
      <c r="K375" s="85"/>
      <c r="L375" s="85"/>
      <c r="M375" s="85"/>
      <c r="N375" s="86"/>
      <c r="O375" s="84"/>
      <c r="P375" s="85"/>
      <c r="Q375" s="85"/>
      <c r="R375" s="85"/>
      <c r="S375" s="85"/>
      <c r="T375" s="85"/>
      <c r="U375" s="85"/>
      <c r="V375" s="85"/>
      <c r="W375" s="85"/>
    </row>
    <row r="376" spans="1:23">
      <c r="A376" s="84"/>
      <c r="B376" s="86"/>
      <c r="C376" s="87"/>
      <c r="D376" s="85"/>
      <c r="E376" s="86"/>
      <c r="F376" s="88"/>
      <c r="G376" s="86"/>
      <c r="H376" s="86"/>
      <c r="I376" s="85"/>
      <c r="J376" s="85"/>
      <c r="K376" s="85"/>
      <c r="L376" s="85"/>
      <c r="M376" s="85"/>
      <c r="N376" s="86"/>
      <c r="O376" s="84"/>
      <c r="P376" s="85"/>
      <c r="Q376" s="85"/>
      <c r="R376" s="85"/>
      <c r="S376" s="85"/>
      <c r="T376" s="85"/>
      <c r="U376" s="85"/>
      <c r="V376" s="85"/>
      <c r="W376" s="85"/>
    </row>
    <row r="377" spans="1:23">
      <c r="A377" s="84"/>
      <c r="B377" s="86"/>
      <c r="C377" s="87"/>
      <c r="D377" s="85"/>
      <c r="E377" s="86"/>
      <c r="F377" s="88"/>
      <c r="G377" s="86"/>
      <c r="H377" s="86"/>
      <c r="I377" s="85"/>
      <c r="J377" s="85"/>
      <c r="K377" s="85"/>
      <c r="L377" s="85"/>
      <c r="M377" s="85"/>
      <c r="N377" s="86"/>
      <c r="O377" s="84"/>
      <c r="P377" s="85"/>
      <c r="Q377" s="85"/>
      <c r="R377" s="85"/>
      <c r="S377" s="85"/>
      <c r="T377" s="85"/>
      <c r="U377" s="85"/>
      <c r="V377" s="85"/>
      <c r="W377" s="85"/>
    </row>
    <row r="378" spans="1:23">
      <c r="A378" s="84"/>
      <c r="B378" s="86"/>
      <c r="C378" s="87"/>
      <c r="D378" s="85"/>
      <c r="E378" s="86"/>
      <c r="F378" s="88"/>
      <c r="G378" s="86"/>
      <c r="H378" s="86"/>
      <c r="I378" s="85"/>
      <c r="J378" s="85"/>
      <c r="K378" s="85"/>
      <c r="L378" s="85"/>
      <c r="M378" s="85"/>
      <c r="N378" s="86"/>
      <c r="O378" s="84"/>
      <c r="P378" s="85"/>
      <c r="Q378" s="85"/>
      <c r="R378" s="85"/>
      <c r="S378" s="85"/>
      <c r="T378" s="85"/>
      <c r="U378" s="85"/>
      <c r="V378" s="85"/>
      <c r="W378" s="85"/>
    </row>
    <row r="379" spans="1:23">
      <c r="A379" s="84"/>
      <c r="B379" s="86"/>
      <c r="C379" s="87"/>
      <c r="D379" s="85"/>
      <c r="E379" s="86"/>
      <c r="F379" s="88"/>
      <c r="G379" s="86"/>
      <c r="H379" s="86"/>
      <c r="I379" s="85"/>
      <c r="J379" s="85"/>
      <c r="K379" s="85"/>
      <c r="L379" s="85"/>
      <c r="M379" s="85"/>
      <c r="N379" s="86"/>
      <c r="O379" s="84"/>
      <c r="P379" s="85"/>
      <c r="Q379" s="85"/>
      <c r="R379" s="85"/>
      <c r="S379" s="85"/>
      <c r="T379" s="85"/>
      <c r="U379" s="85"/>
      <c r="V379" s="85"/>
      <c r="W379" s="85"/>
    </row>
    <row r="380" spans="1:23">
      <c r="A380" s="84"/>
      <c r="B380" s="86"/>
      <c r="C380" s="87"/>
      <c r="D380" s="85"/>
      <c r="E380" s="86"/>
      <c r="F380" s="88"/>
      <c r="G380" s="86"/>
      <c r="H380" s="86"/>
      <c r="I380" s="85"/>
      <c r="J380" s="85"/>
      <c r="K380" s="85"/>
      <c r="L380" s="85"/>
      <c r="M380" s="85"/>
      <c r="N380" s="86"/>
      <c r="O380" s="84"/>
      <c r="P380" s="85"/>
      <c r="Q380" s="85"/>
      <c r="R380" s="85"/>
      <c r="S380" s="85"/>
      <c r="T380" s="85"/>
      <c r="U380" s="85"/>
      <c r="V380" s="85"/>
      <c r="W380" s="85"/>
    </row>
    <row r="381" spans="1:23">
      <c r="A381" s="84"/>
      <c r="B381" s="86"/>
      <c r="C381" s="87"/>
      <c r="D381" s="85"/>
      <c r="E381" s="86"/>
      <c r="F381" s="88"/>
      <c r="G381" s="86"/>
      <c r="H381" s="86"/>
      <c r="I381" s="85"/>
      <c r="J381" s="85"/>
      <c r="K381" s="85"/>
      <c r="L381" s="85"/>
      <c r="M381" s="85"/>
      <c r="N381" s="86"/>
      <c r="O381" s="84"/>
      <c r="P381" s="85"/>
      <c r="Q381" s="85"/>
      <c r="R381" s="85"/>
      <c r="S381" s="85"/>
      <c r="T381" s="85"/>
      <c r="U381" s="85"/>
      <c r="V381" s="85"/>
      <c r="W381" s="85"/>
    </row>
    <row r="382" spans="1:23">
      <c r="A382" s="84"/>
      <c r="B382" s="86"/>
      <c r="C382" s="87"/>
      <c r="D382" s="85"/>
      <c r="E382" s="86"/>
      <c r="F382" s="88"/>
      <c r="G382" s="86"/>
      <c r="H382" s="86"/>
      <c r="I382" s="85"/>
      <c r="J382" s="85"/>
      <c r="K382" s="85"/>
      <c r="L382" s="85"/>
      <c r="M382" s="85"/>
      <c r="N382" s="86"/>
      <c r="O382" s="84"/>
      <c r="P382" s="85"/>
      <c r="Q382" s="85"/>
      <c r="R382" s="85"/>
      <c r="S382" s="85"/>
      <c r="T382" s="85"/>
      <c r="U382" s="85"/>
      <c r="V382" s="85"/>
      <c r="W382" s="85"/>
    </row>
    <row r="383" spans="1:23">
      <c r="A383" s="84"/>
      <c r="B383" s="86"/>
      <c r="C383" s="87"/>
      <c r="D383" s="85"/>
      <c r="E383" s="86"/>
      <c r="F383" s="88"/>
      <c r="G383" s="86"/>
      <c r="H383" s="86"/>
      <c r="I383" s="85"/>
      <c r="J383" s="85"/>
      <c r="K383" s="85"/>
      <c r="L383" s="85"/>
      <c r="M383" s="85"/>
      <c r="N383" s="86"/>
      <c r="O383" s="84"/>
      <c r="P383" s="85"/>
      <c r="Q383" s="85"/>
      <c r="R383" s="85"/>
      <c r="S383" s="85"/>
      <c r="T383" s="85"/>
      <c r="U383" s="85"/>
      <c r="V383" s="85"/>
      <c r="W383" s="85"/>
    </row>
    <row r="384" spans="1:23">
      <c r="A384" s="84"/>
      <c r="B384" s="86"/>
      <c r="C384" s="87"/>
      <c r="D384" s="85"/>
      <c r="E384" s="86"/>
      <c r="F384" s="88"/>
      <c r="G384" s="86"/>
      <c r="H384" s="86"/>
      <c r="I384" s="85"/>
      <c r="J384" s="85"/>
      <c r="K384" s="85"/>
      <c r="L384" s="85"/>
      <c r="M384" s="85"/>
      <c r="N384" s="86"/>
      <c r="O384" s="84"/>
      <c r="P384" s="85"/>
      <c r="Q384" s="85"/>
      <c r="R384" s="85"/>
      <c r="S384" s="85"/>
      <c r="T384" s="85"/>
      <c r="U384" s="85"/>
      <c r="V384" s="85"/>
      <c r="W384" s="85"/>
    </row>
    <row r="385" spans="1:23">
      <c r="A385" s="84"/>
      <c r="B385" s="86"/>
      <c r="C385" s="87"/>
      <c r="D385" s="85"/>
      <c r="E385" s="86"/>
      <c r="F385" s="88"/>
      <c r="G385" s="86"/>
      <c r="H385" s="86"/>
      <c r="I385" s="85"/>
      <c r="J385" s="85"/>
      <c r="K385" s="85"/>
      <c r="L385" s="85"/>
      <c r="M385" s="85"/>
      <c r="N385" s="86"/>
      <c r="O385" s="84"/>
      <c r="P385" s="85"/>
      <c r="Q385" s="85"/>
      <c r="R385" s="85"/>
      <c r="S385" s="85"/>
      <c r="T385" s="85"/>
      <c r="U385" s="85"/>
      <c r="V385" s="85"/>
      <c r="W385" s="85"/>
    </row>
    <row r="386" spans="1:23">
      <c r="A386" s="84"/>
      <c r="B386" s="86"/>
      <c r="C386" s="87"/>
      <c r="D386" s="85"/>
      <c r="E386" s="86"/>
      <c r="F386" s="88"/>
      <c r="G386" s="86"/>
      <c r="H386" s="86"/>
      <c r="I386" s="85"/>
      <c r="J386" s="85"/>
      <c r="K386" s="85"/>
      <c r="L386" s="85"/>
      <c r="M386" s="85"/>
      <c r="N386" s="86"/>
      <c r="O386" s="84"/>
      <c r="P386" s="85"/>
      <c r="Q386" s="85"/>
      <c r="R386" s="85"/>
      <c r="S386" s="85"/>
      <c r="T386" s="85"/>
      <c r="U386" s="85"/>
      <c r="V386" s="85"/>
      <c r="W386" s="85"/>
    </row>
    <row r="387" spans="1:23">
      <c r="A387" s="84"/>
      <c r="B387" s="86"/>
      <c r="C387" s="87"/>
      <c r="D387" s="85"/>
      <c r="E387" s="86"/>
      <c r="F387" s="88"/>
      <c r="G387" s="86"/>
      <c r="H387" s="86"/>
      <c r="I387" s="85"/>
      <c r="J387" s="85"/>
      <c r="K387" s="85"/>
      <c r="L387" s="85"/>
      <c r="M387" s="85"/>
      <c r="N387" s="86"/>
      <c r="O387" s="84"/>
      <c r="P387" s="85"/>
      <c r="Q387" s="85"/>
      <c r="R387" s="85"/>
      <c r="S387" s="85"/>
      <c r="T387" s="85"/>
      <c r="U387" s="85"/>
      <c r="V387" s="85"/>
      <c r="W387" s="85"/>
    </row>
  </sheetData>
  <sheetProtection formatCells="0" formatColumns="0" formatRows="0" insertColumns="0" insertRows="0" insertHyperlinks="0" selectLockedCells="1"/>
  <phoneticPr fontId="4" type="noConversion"/>
  <dataValidations count="2">
    <dataValidation type="list" allowBlank="1" showInputMessage="1" showErrorMessage="1" sqref="P7">
      <formula1>"Left, Right, Ambi"</formula1>
    </dataValidation>
    <dataValidation type="list" allowBlank="1" showInputMessage="1" showErrorMessage="1" sqref="P19:P20 P17">
      <formula1>"Normal, Borderline, Abnormal"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NF84"/>
  <sheetViews>
    <sheetView zoomScale="200" zoomScaleNormal="200" zoomScalePageLayoutView="200" workbookViewId="0">
      <selection activeCell="G12" sqref="G12"/>
    </sheetView>
  </sheetViews>
  <sheetFormatPr baseColWidth="10" defaultColWidth="8.83203125" defaultRowHeight="14" x14ac:dyDescent="0"/>
  <cols>
    <col min="1" max="1" width="24.33203125" style="1" customWidth="1"/>
    <col min="2" max="2" width="7.6640625" style="35" customWidth="1"/>
    <col min="3" max="3" width="1.6640625" style="5" customWidth="1"/>
    <col min="4" max="4" width="19.83203125" style="4" customWidth="1"/>
    <col min="5" max="5" width="17.83203125" style="57" customWidth="1"/>
    <col min="6" max="6" width="16.83203125" customWidth="1"/>
    <col min="7" max="7" width="17.6640625" style="50" customWidth="1"/>
    <col min="8" max="8" width="8.6640625" style="51" customWidth="1"/>
    <col min="9" max="13" width="3.1640625" style="52" bestFit="1" customWidth="1"/>
    <col min="14" max="14" width="10.1640625" style="51" customWidth="1"/>
    <col min="16" max="27" width="8.83203125" style="52"/>
    <col min="28" max="52" width="8.83203125" style="38"/>
    <col min="53" max="16384" width="8.83203125" style="4"/>
  </cols>
  <sheetData>
    <row r="1" spans="1:370">
      <c r="A1" s="1" t="s">
        <v>1</v>
      </c>
      <c r="B1" s="75">
        <f>'Paste here'!P1</f>
        <v>0</v>
      </c>
      <c r="C1" s="75"/>
      <c r="D1" s="75"/>
      <c r="E1" s="18" t="str">
        <f>B1&amp;" - "&amp;TEXT(B4, "yyyy-mmm-dd")&amp;" Cognitive Test Results.pdf"</f>
        <v>0 - 1900-Jan-00 Cognitive Test Results.pdf</v>
      </c>
      <c r="G1" s="103" t="s">
        <v>73</v>
      </c>
      <c r="H1" s="103"/>
      <c r="I1" s="102" t="s">
        <v>72</v>
      </c>
      <c r="J1" s="102"/>
      <c r="K1" s="102"/>
      <c r="L1" s="102"/>
      <c r="M1" s="102"/>
      <c r="N1" s="102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  <c r="IS1" s="29"/>
      <c r="IT1" s="29"/>
      <c r="IU1" s="29"/>
      <c r="IV1" s="29"/>
      <c r="IW1" s="29"/>
      <c r="IX1" s="29"/>
      <c r="IY1" s="29"/>
      <c r="IZ1" s="29"/>
      <c r="JA1" s="29"/>
      <c r="JB1" s="29"/>
      <c r="JC1" s="29"/>
      <c r="JD1" s="29"/>
      <c r="JE1" s="29"/>
      <c r="JF1" s="29"/>
      <c r="JG1" s="29"/>
      <c r="JH1" s="29"/>
      <c r="JI1" s="29"/>
      <c r="JJ1" s="29"/>
      <c r="JK1" s="29"/>
      <c r="JL1" s="29"/>
      <c r="JM1" s="29"/>
      <c r="JN1" s="29"/>
      <c r="JO1" s="29"/>
      <c r="JP1" s="29"/>
      <c r="JQ1" s="29"/>
      <c r="JR1" s="29"/>
      <c r="JS1" s="29"/>
      <c r="JT1" s="29"/>
      <c r="JU1" s="29"/>
      <c r="JV1" s="29"/>
      <c r="JW1" s="29"/>
      <c r="JX1" s="29"/>
      <c r="JY1" s="29"/>
      <c r="JZ1" s="29"/>
      <c r="KA1" s="29"/>
      <c r="KB1" s="29"/>
      <c r="KC1" s="29"/>
      <c r="KD1" s="29"/>
      <c r="KE1" s="29"/>
      <c r="KF1" s="29"/>
      <c r="KG1" s="29"/>
      <c r="KH1" s="29"/>
      <c r="KI1" s="29"/>
      <c r="KJ1" s="29"/>
      <c r="KK1" s="29"/>
      <c r="KL1" s="29"/>
      <c r="KM1" s="29"/>
      <c r="KN1" s="29"/>
      <c r="KO1" s="29"/>
      <c r="KP1" s="29"/>
      <c r="KQ1" s="29"/>
      <c r="KR1" s="29"/>
      <c r="KS1" s="29"/>
      <c r="KT1" s="29"/>
      <c r="KU1" s="29"/>
      <c r="KV1" s="29"/>
      <c r="KW1" s="29"/>
      <c r="KX1" s="29"/>
      <c r="KY1" s="29"/>
      <c r="KZ1" s="29"/>
      <c r="LA1" s="29"/>
      <c r="LB1" s="29"/>
      <c r="LC1" s="29"/>
      <c r="LD1" s="29"/>
      <c r="LE1" s="29"/>
      <c r="LF1" s="29"/>
      <c r="LG1" s="29"/>
      <c r="LH1" s="29"/>
      <c r="LI1" s="29"/>
      <c r="LJ1" s="29"/>
      <c r="LK1" s="29"/>
      <c r="LL1" s="29"/>
      <c r="LM1" s="29"/>
      <c r="LN1" s="29"/>
      <c r="LO1" s="29"/>
      <c r="LP1" s="29"/>
      <c r="LQ1" s="29"/>
      <c r="LR1" s="29"/>
      <c r="LS1" s="29"/>
      <c r="LT1" s="29"/>
      <c r="LU1" s="29"/>
      <c r="LV1" s="29"/>
      <c r="LW1" s="29"/>
      <c r="LX1" s="29"/>
      <c r="LY1" s="29"/>
      <c r="LZ1" s="29"/>
      <c r="MA1" s="29"/>
      <c r="MB1" s="29"/>
      <c r="MC1" s="29"/>
      <c r="MD1" s="29"/>
      <c r="ME1" s="29"/>
      <c r="MF1" s="29"/>
      <c r="MG1" s="29"/>
      <c r="MH1" s="29"/>
      <c r="MI1" s="29"/>
      <c r="MJ1" s="29"/>
      <c r="MK1" s="29"/>
      <c r="ML1" s="29"/>
      <c r="MM1" s="29"/>
      <c r="MN1" s="29"/>
      <c r="MO1" s="29"/>
      <c r="MP1" s="29"/>
      <c r="MQ1" s="29"/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</row>
    <row r="2" spans="1:370" ht="14" customHeight="1">
      <c r="A2" s="1" t="s">
        <v>47</v>
      </c>
      <c r="B2" s="76">
        <f>'Paste here'!P2</f>
        <v>0</v>
      </c>
      <c r="C2" s="76"/>
      <c r="D2" s="76"/>
      <c r="G2" s="74" t="s">
        <v>69</v>
      </c>
      <c r="H2" s="74" t="s">
        <v>67</v>
      </c>
      <c r="I2" s="73" t="s">
        <v>64</v>
      </c>
      <c r="J2" s="73"/>
      <c r="K2" s="73"/>
      <c r="L2" s="73"/>
      <c r="M2" s="73"/>
      <c r="N2" s="73" t="s">
        <v>63</v>
      </c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29"/>
      <c r="GO2" s="29"/>
      <c r="GP2" s="29"/>
      <c r="GQ2" s="29"/>
      <c r="GR2" s="29"/>
      <c r="GS2" s="29"/>
      <c r="GT2" s="29"/>
      <c r="GU2" s="29"/>
      <c r="GV2" s="29"/>
      <c r="GW2" s="29"/>
      <c r="GX2" s="29"/>
      <c r="GY2" s="29"/>
      <c r="GZ2" s="29"/>
      <c r="HA2" s="29"/>
      <c r="HB2" s="29"/>
      <c r="HC2" s="29"/>
      <c r="HD2" s="29"/>
      <c r="HE2" s="29"/>
      <c r="HF2" s="29"/>
      <c r="HG2" s="29"/>
      <c r="HH2" s="29"/>
      <c r="HI2" s="29"/>
      <c r="HJ2" s="29"/>
      <c r="HK2" s="29"/>
      <c r="HL2" s="29"/>
      <c r="HM2" s="29"/>
      <c r="HN2" s="29"/>
      <c r="HO2" s="29"/>
      <c r="HP2" s="29"/>
      <c r="HQ2" s="29"/>
      <c r="HR2" s="29"/>
      <c r="HS2" s="29"/>
      <c r="HT2" s="29"/>
      <c r="HU2" s="29"/>
      <c r="HV2" s="29"/>
      <c r="HW2" s="29"/>
      <c r="HX2" s="29"/>
      <c r="HY2" s="29"/>
      <c r="HZ2" s="29"/>
      <c r="IA2" s="29"/>
      <c r="IB2" s="29"/>
      <c r="IC2" s="29"/>
      <c r="ID2" s="29"/>
      <c r="IE2" s="29"/>
      <c r="IF2" s="29"/>
      <c r="IG2" s="29"/>
      <c r="IH2" s="29"/>
      <c r="II2" s="29"/>
      <c r="IJ2" s="29"/>
      <c r="IK2" s="29"/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29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29"/>
      <c r="KA2" s="29"/>
      <c r="KB2" s="29"/>
      <c r="KC2" s="29"/>
      <c r="KD2" s="29"/>
      <c r="KE2" s="29"/>
      <c r="KF2" s="29"/>
      <c r="KG2" s="29"/>
      <c r="KH2" s="29"/>
      <c r="KI2" s="29"/>
      <c r="KJ2" s="29"/>
      <c r="KK2" s="29"/>
      <c r="KL2" s="29"/>
      <c r="KM2" s="29"/>
      <c r="KN2" s="29"/>
      <c r="KO2" s="29"/>
      <c r="KP2" s="29"/>
      <c r="KQ2" s="29"/>
      <c r="KR2" s="29"/>
      <c r="KS2" s="29"/>
      <c r="KT2" s="29"/>
      <c r="KU2" s="29"/>
      <c r="KV2" s="29"/>
      <c r="KW2" s="29"/>
      <c r="KX2" s="29"/>
      <c r="KY2" s="29"/>
      <c r="KZ2" s="29"/>
      <c r="LA2" s="29"/>
      <c r="LB2" s="29"/>
      <c r="LC2" s="29"/>
      <c r="LD2" s="29"/>
      <c r="LE2" s="29"/>
      <c r="LF2" s="29"/>
      <c r="LG2" s="29"/>
      <c r="LH2" s="29"/>
      <c r="LI2" s="29"/>
      <c r="LJ2" s="29"/>
      <c r="LK2" s="29"/>
      <c r="LL2" s="29"/>
      <c r="LM2" s="29"/>
      <c r="LN2" s="29"/>
      <c r="LO2" s="29"/>
      <c r="LP2" s="29"/>
      <c r="LQ2" s="29"/>
      <c r="LR2" s="29"/>
      <c r="LS2" s="29"/>
      <c r="LT2" s="29"/>
      <c r="LU2" s="29"/>
      <c r="LV2" s="29"/>
      <c r="LW2" s="29"/>
      <c r="LX2" s="29"/>
      <c r="LY2" s="29"/>
      <c r="LZ2" s="29"/>
      <c r="MA2" s="29"/>
      <c r="MB2" s="29"/>
      <c r="MC2" s="29"/>
      <c r="MD2" s="29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  <c r="NF2" s="29"/>
    </row>
    <row r="3" spans="1:370">
      <c r="A3" s="1" t="s">
        <v>2</v>
      </c>
      <c r="B3" s="78">
        <f>'Paste here'!P3</f>
        <v>0</v>
      </c>
      <c r="C3" s="78"/>
      <c r="D3" s="78"/>
      <c r="G3" s="74"/>
      <c r="H3" s="74"/>
      <c r="I3" s="73"/>
      <c r="J3" s="73"/>
      <c r="K3" s="73"/>
      <c r="L3" s="73"/>
      <c r="M3" s="73"/>
      <c r="N3" s="7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  <c r="IS3" s="29"/>
      <c r="IT3" s="29"/>
      <c r="IU3" s="29"/>
      <c r="IV3" s="29"/>
      <c r="IW3" s="29"/>
      <c r="IX3" s="29"/>
      <c r="IY3" s="29"/>
      <c r="IZ3" s="29"/>
      <c r="JA3" s="29"/>
      <c r="JB3" s="29"/>
      <c r="JC3" s="29"/>
      <c r="JD3" s="29"/>
      <c r="JE3" s="29"/>
      <c r="JF3" s="29"/>
      <c r="JG3" s="29"/>
      <c r="JH3" s="29"/>
      <c r="JI3" s="29"/>
      <c r="JJ3" s="29"/>
      <c r="JK3" s="29"/>
      <c r="JL3" s="29"/>
      <c r="JM3" s="29"/>
      <c r="JN3" s="29"/>
      <c r="JO3" s="29"/>
      <c r="JP3" s="29"/>
      <c r="JQ3" s="29"/>
      <c r="JR3" s="29"/>
      <c r="JS3" s="29"/>
      <c r="JT3" s="29"/>
      <c r="JU3" s="29"/>
      <c r="JV3" s="29"/>
      <c r="JW3" s="29"/>
      <c r="JX3" s="29"/>
      <c r="JY3" s="29"/>
      <c r="JZ3" s="29"/>
      <c r="KA3" s="29"/>
      <c r="KB3" s="29"/>
      <c r="KC3" s="29"/>
      <c r="KD3" s="29"/>
      <c r="KE3" s="29"/>
      <c r="KF3" s="29"/>
      <c r="KG3" s="29"/>
      <c r="KH3" s="29"/>
      <c r="KI3" s="29"/>
      <c r="KJ3" s="29"/>
      <c r="KK3" s="29"/>
      <c r="KL3" s="29"/>
      <c r="KM3" s="29"/>
      <c r="KN3" s="29"/>
      <c r="KO3" s="29"/>
      <c r="KP3" s="29"/>
      <c r="KQ3" s="29"/>
      <c r="KR3" s="29"/>
      <c r="KS3" s="29"/>
      <c r="KT3" s="29"/>
      <c r="KU3" s="29"/>
      <c r="KV3" s="29"/>
      <c r="KW3" s="29"/>
      <c r="KX3" s="29"/>
      <c r="KY3" s="29"/>
      <c r="KZ3" s="29"/>
      <c r="LA3" s="29"/>
      <c r="LB3" s="29"/>
      <c r="LC3" s="29"/>
      <c r="LD3" s="29"/>
      <c r="LE3" s="29"/>
      <c r="LF3" s="29"/>
      <c r="LG3" s="29"/>
      <c r="LH3" s="29"/>
      <c r="LI3" s="29"/>
      <c r="LJ3" s="29"/>
      <c r="LK3" s="29"/>
      <c r="LL3" s="29"/>
      <c r="LM3" s="29"/>
      <c r="LN3" s="29"/>
      <c r="LO3" s="29"/>
      <c r="LP3" s="29"/>
      <c r="LQ3" s="29"/>
      <c r="LR3" s="29"/>
      <c r="LS3" s="29"/>
      <c r="LT3" s="29"/>
      <c r="LU3" s="29"/>
      <c r="LV3" s="29"/>
      <c r="LW3" s="29"/>
      <c r="LX3" s="29"/>
      <c r="LY3" s="29"/>
      <c r="LZ3" s="29"/>
      <c r="MA3" s="29"/>
      <c r="MB3" s="29"/>
      <c r="MC3" s="29"/>
      <c r="MD3" s="29"/>
      <c r="ME3" s="29"/>
      <c r="MF3" s="29"/>
      <c r="MG3" s="29"/>
      <c r="MH3" s="29"/>
      <c r="MI3" s="29"/>
      <c r="MJ3" s="29"/>
      <c r="MK3" s="29"/>
      <c r="ML3" s="29"/>
      <c r="MM3" s="29"/>
      <c r="MN3" s="29"/>
      <c r="MO3" s="29"/>
      <c r="MP3" s="29"/>
      <c r="MQ3" s="29"/>
      <c r="MR3" s="29"/>
      <c r="MS3" s="29"/>
      <c r="MT3" s="29"/>
      <c r="MU3" s="29"/>
      <c r="MV3" s="29"/>
      <c r="MW3" s="29"/>
      <c r="MX3" s="29"/>
      <c r="MY3" s="29"/>
      <c r="MZ3" s="29"/>
      <c r="NA3" s="29"/>
      <c r="NB3" s="29"/>
      <c r="NC3" s="29"/>
      <c r="ND3" s="29"/>
      <c r="NE3" s="29"/>
      <c r="NF3" s="29"/>
    </row>
    <row r="4" spans="1:370">
      <c r="A4" s="1" t="s">
        <v>3</v>
      </c>
      <c r="B4" s="78">
        <f>'Paste here'!P4</f>
        <v>0</v>
      </c>
      <c r="C4" s="78"/>
      <c r="D4" s="78"/>
      <c r="G4" s="74"/>
      <c r="H4" s="74"/>
      <c r="I4" s="73"/>
      <c r="J4" s="73"/>
      <c r="K4" s="73"/>
      <c r="L4" s="73"/>
      <c r="M4" s="73"/>
      <c r="N4" s="7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  <c r="IS4" s="29"/>
      <c r="IT4" s="29"/>
      <c r="IU4" s="29"/>
      <c r="IV4" s="29"/>
      <c r="IW4" s="29"/>
      <c r="IX4" s="29"/>
      <c r="IY4" s="29"/>
      <c r="IZ4" s="29"/>
      <c r="JA4" s="29"/>
      <c r="JB4" s="29"/>
      <c r="JC4" s="29"/>
      <c r="JD4" s="29"/>
      <c r="JE4" s="29"/>
      <c r="JF4" s="29"/>
      <c r="JG4" s="29"/>
      <c r="JH4" s="29"/>
      <c r="JI4" s="29"/>
      <c r="JJ4" s="29"/>
      <c r="JK4" s="29"/>
      <c r="JL4" s="29"/>
      <c r="JM4" s="29"/>
      <c r="JN4" s="29"/>
      <c r="JO4" s="29"/>
      <c r="JP4" s="29"/>
      <c r="JQ4" s="29"/>
      <c r="JR4" s="29"/>
      <c r="JS4" s="29"/>
      <c r="JT4" s="29"/>
      <c r="JU4" s="29"/>
      <c r="JV4" s="29"/>
      <c r="JW4" s="29"/>
      <c r="JX4" s="29"/>
      <c r="JY4" s="29"/>
      <c r="JZ4" s="29"/>
      <c r="KA4" s="29"/>
      <c r="KB4" s="29"/>
      <c r="KC4" s="29"/>
      <c r="KD4" s="29"/>
      <c r="KE4" s="29"/>
      <c r="KF4" s="29"/>
      <c r="KG4" s="29"/>
      <c r="KH4" s="29"/>
      <c r="KI4" s="29"/>
      <c r="KJ4" s="29"/>
      <c r="KK4" s="29"/>
      <c r="KL4" s="29"/>
      <c r="KM4" s="29"/>
      <c r="KN4" s="29"/>
      <c r="KO4" s="29"/>
      <c r="KP4" s="29"/>
      <c r="KQ4" s="29"/>
      <c r="KR4" s="29"/>
      <c r="KS4" s="29"/>
      <c r="KT4" s="29"/>
      <c r="KU4" s="29"/>
      <c r="KV4" s="29"/>
      <c r="KW4" s="29"/>
      <c r="KX4" s="29"/>
      <c r="KY4" s="29"/>
      <c r="KZ4" s="29"/>
      <c r="LA4" s="29"/>
      <c r="LB4" s="29"/>
      <c r="LC4" s="29"/>
      <c r="LD4" s="29"/>
      <c r="LE4" s="29"/>
      <c r="LF4" s="29"/>
      <c r="LG4" s="29"/>
      <c r="LH4" s="29"/>
      <c r="LI4" s="29"/>
      <c r="LJ4" s="29"/>
      <c r="LK4" s="29"/>
      <c r="LL4" s="29"/>
      <c r="LM4" s="29"/>
      <c r="LN4" s="29"/>
      <c r="LO4" s="29"/>
      <c r="LP4" s="29"/>
      <c r="LQ4" s="29"/>
      <c r="LR4" s="29"/>
      <c r="LS4" s="29"/>
      <c r="LT4" s="29"/>
      <c r="LU4" s="29"/>
      <c r="LV4" s="29"/>
      <c r="LW4" s="29"/>
      <c r="LX4" s="29"/>
      <c r="LY4" s="29"/>
      <c r="LZ4" s="29"/>
      <c r="MA4" s="29"/>
      <c r="MB4" s="29"/>
      <c r="MC4" s="29"/>
      <c r="MD4" s="29"/>
      <c r="ME4" s="29"/>
      <c r="MF4" s="29"/>
      <c r="MG4" s="29"/>
      <c r="MH4" s="29"/>
      <c r="MI4" s="29"/>
      <c r="MJ4" s="29"/>
      <c r="MK4" s="29"/>
      <c r="ML4" s="29"/>
      <c r="MM4" s="29"/>
      <c r="MN4" s="29"/>
      <c r="MO4" s="29"/>
      <c r="MP4" s="29"/>
      <c r="MQ4" s="29"/>
      <c r="MR4" s="29"/>
      <c r="MS4" s="29"/>
      <c r="MT4" s="29"/>
      <c r="MU4" s="29"/>
      <c r="MV4" s="29"/>
      <c r="MW4" s="29"/>
      <c r="MX4" s="29"/>
      <c r="MY4" s="29"/>
      <c r="MZ4" s="29"/>
      <c r="NA4" s="29"/>
      <c r="NB4" s="29"/>
      <c r="NC4" s="29"/>
      <c r="ND4" s="29"/>
      <c r="NE4" s="29"/>
      <c r="NF4" s="29"/>
    </row>
    <row r="5" spans="1:370">
      <c r="A5" s="1" t="s">
        <v>4</v>
      </c>
      <c r="B5" s="40">
        <f>'Paste here'!P5</f>
        <v>0</v>
      </c>
      <c r="C5" s="40"/>
      <c r="D5" s="40"/>
      <c r="G5" s="74"/>
      <c r="H5" s="74"/>
      <c r="I5" s="73"/>
      <c r="J5" s="73"/>
      <c r="K5" s="73"/>
      <c r="L5" s="73"/>
      <c r="M5" s="73"/>
      <c r="N5" s="7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  <c r="IS5" s="29"/>
      <c r="IT5" s="29"/>
      <c r="IU5" s="29"/>
      <c r="IV5" s="29"/>
      <c r="IW5" s="29"/>
      <c r="IX5" s="29"/>
      <c r="IY5" s="29"/>
      <c r="IZ5" s="29"/>
      <c r="JA5" s="29"/>
      <c r="JB5" s="29"/>
      <c r="JC5" s="29"/>
      <c r="JD5" s="29"/>
      <c r="JE5" s="29"/>
      <c r="JF5" s="29"/>
      <c r="JG5" s="29"/>
      <c r="JH5" s="29"/>
      <c r="JI5" s="29"/>
      <c r="JJ5" s="29"/>
      <c r="JK5" s="29"/>
      <c r="JL5" s="29"/>
      <c r="JM5" s="29"/>
      <c r="JN5" s="29"/>
      <c r="JO5" s="29"/>
      <c r="JP5" s="29"/>
      <c r="JQ5" s="29"/>
      <c r="JR5" s="29"/>
      <c r="JS5" s="29"/>
      <c r="JT5" s="29"/>
      <c r="JU5" s="29"/>
      <c r="JV5" s="29"/>
      <c r="JW5" s="29"/>
      <c r="JX5" s="29"/>
      <c r="JY5" s="29"/>
      <c r="JZ5" s="29"/>
      <c r="KA5" s="29"/>
      <c r="KB5" s="29"/>
      <c r="KC5" s="29"/>
      <c r="KD5" s="29"/>
      <c r="KE5" s="29"/>
      <c r="KF5" s="29"/>
      <c r="KG5" s="29"/>
      <c r="KH5" s="29"/>
      <c r="KI5" s="29"/>
      <c r="KJ5" s="29"/>
      <c r="KK5" s="29"/>
      <c r="KL5" s="29"/>
      <c r="KM5" s="29"/>
      <c r="KN5" s="29"/>
      <c r="KO5" s="29"/>
      <c r="KP5" s="29"/>
      <c r="KQ5" s="29"/>
      <c r="KR5" s="29"/>
      <c r="KS5" s="29"/>
      <c r="KT5" s="29"/>
      <c r="KU5" s="29"/>
      <c r="KV5" s="29"/>
      <c r="KW5" s="29"/>
      <c r="KX5" s="29"/>
      <c r="KY5" s="29"/>
      <c r="KZ5" s="29"/>
      <c r="LA5" s="29"/>
      <c r="LB5" s="29"/>
      <c r="LC5" s="29"/>
      <c r="LD5" s="29"/>
      <c r="LE5" s="29"/>
      <c r="LF5" s="29"/>
      <c r="LG5" s="29"/>
      <c r="LH5" s="29"/>
      <c r="LI5" s="29"/>
      <c r="LJ5" s="29"/>
      <c r="LK5" s="29"/>
      <c r="LL5" s="29"/>
      <c r="LM5" s="29"/>
      <c r="LN5" s="29"/>
      <c r="LO5" s="29"/>
      <c r="LP5" s="29"/>
      <c r="LQ5" s="29"/>
      <c r="LR5" s="29"/>
      <c r="LS5" s="29"/>
      <c r="LT5" s="29"/>
      <c r="LU5" s="29"/>
      <c r="LV5" s="29"/>
      <c r="LW5" s="29"/>
      <c r="LX5" s="29"/>
      <c r="LY5" s="29"/>
      <c r="LZ5" s="29"/>
      <c r="MA5" s="29"/>
      <c r="MB5" s="29"/>
      <c r="MC5" s="29"/>
      <c r="MD5" s="29"/>
      <c r="ME5" s="29"/>
      <c r="MF5" s="29"/>
      <c r="MG5" s="29"/>
      <c r="MH5" s="29"/>
      <c r="MI5" s="29"/>
      <c r="MJ5" s="29"/>
      <c r="MK5" s="29"/>
      <c r="ML5" s="29"/>
      <c r="MM5" s="29"/>
      <c r="MN5" s="29"/>
      <c r="MO5" s="29"/>
      <c r="MP5" s="29"/>
      <c r="MQ5" s="29"/>
      <c r="MR5" s="29"/>
      <c r="MS5" s="29"/>
      <c r="MT5" s="29"/>
      <c r="MU5" s="29"/>
      <c r="MV5" s="29"/>
      <c r="MW5" s="29"/>
      <c r="MX5" s="29"/>
      <c r="MY5" s="29"/>
      <c r="MZ5" s="29"/>
      <c r="NA5" s="29"/>
      <c r="NB5" s="29"/>
      <c r="NC5" s="29"/>
      <c r="ND5" s="29"/>
      <c r="NE5" s="29"/>
      <c r="NF5" s="29"/>
    </row>
    <row r="6" spans="1:370">
      <c r="A6" s="1" t="s">
        <v>50</v>
      </c>
      <c r="B6" s="40">
        <f>'Paste here'!P6</f>
        <v>0</v>
      </c>
      <c r="C6" s="40"/>
      <c r="D6" s="40"/>
      <c r="G6" s="74"/>
      <c r="H6" s="74"/>
      <c r="I6" s="73"/>
      <c r="J6" s="73"/>
      <c r="K6" s="73"/>
      <c r="L6" s="73"/>
      <c r="M6" s="73"/>
      <c r="N6" s="7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  <c r="IS6" s="29"/>
      <c r="IT6" s="29"/>
      <c r="IU6" s="29"/>
      <c r="IV6" s="29"/>
      <c r="IW6" s="29"/>
      <c r="IX6" s="29"/>
      <c r="IY6" s="29"/>
      <c r="IZ6" s="29"/>
      <c r="JA6" s="29"/>
      <c r="JB6" s="29"/>
      <c r="JC6" s="29"/>
      <c r="JD6" s="29"/>
      <c r="JE6" s="29"/>
      <c r="JF6" s="29"/>
      <c r="JG6" s="29"/>
      <c r="JH6" s="29"/>
      <c r="JI6" s="29"/>
      <c r="JJ6" s="29"/>
      <c r="JK6" s="29"/>
      <c r="JL6" s="29"/>
      <c r="JM6" s="29"/>
      <c r="JN6" s="29"/>
      <c r="JO6" s="29"/>
      <c r="JP6" s="29"/>
      <c r="JQ6" s="29"/>
      <c r="JR6" s="29"/>
      <c r="JS6" s="29"/>
      <c r="JT6" s="29"/>
      <c r="JU6" s="29"/>
      <c r="JV6" s="29"/>
      <c r="JW6" s="29"/>
      <c r="JX6" s="29"/>
      <c r="JY6" s="29"/>
      <c r="JZ6" s="29"/>
      <c r="KA6" s="29"/>
      <c r="KB6" s="29"/>
      <c r="KC6" s="29"/>
      <c r="KD6" s="29"/>
      <c r="KE6" s="29"/>
      <c r="KF6" s="29"/>
      <c r="KG6" s="29"/>
      <c r="KH6" s="29"/>
      <c r="KI6" s="29"/>
      <c r="KJ6" s="29"/>
      <c r="KK6" s="29"/>
      <c r="KL6" s="29"/>
      <c r="KM6" s="29"/>
      <c r="KN6" s="29"/>
      <c r="KO6" s="29"/>
      <c r="KP6" s="29"/>
      <c r="KQ6" s="29"/>
      <c r="KR6" s="29"/>
      <c r="KS6" s="29"/>
      <c r="KT6" s="29"/>
      <c r="KU6" s="29"/>
      <c r="KV6" s="29"/>
      <c r="KW6" s="29"/>
      <c r="KX6" s="29"/>
      <c r="KY6" s="29"/>
      <c r="KZ6" s="29"/>
      <c r="LA6" s="29"/>
      <c r="LB6" s="29"/>
      <c r="LC6" s="29"/>
      <c r="LD6" s="29"/>
      <c r="LE6" s="29"/>
      <c r="LF6" s="29"/>
      <c r="LG6" s="29"/>
      <c r="LH6" s="29"/>
      <c r="LI6" s="29"/>
      <c r="LJ6" s="29"/>
      <c r="LK6" s="29"/>
      <c r="LL6" s="29"/>
      <c r="LM6" s="29"/>
      <c r="LN6" s="29"/>
      <c r="LO6" s="29"/>
      <c r="LP6" s="29"/>
      <c r="LQ6" s="29"/>
      <c r="LR6" s="29"/>
      <c r="LS6" s="29"/>
      <c r="LT6" s="29"/>
      <c r="LU6" s="29"/>
      <c r="LV6" s="29"/>
      <c r="LW6" s="29"/>
      <c r="LX6" s="29"/>
      <c r="LY6" s="29"/>
      <c r="LZ6" s="29"/>
      <c r="MA6" s="29"/>
      <c r="MB6" s="29"/>
      <c r="MC6" s="29"/>
      <c r="MD6" s="29"/>
      <c r="ME6" s="29"/>
      <c r="MF6" s="29"/>
      <c r="MG6" s="29"/>
      <c r="MH6" s="29"/>
      <c r="MI6" s="29"/>
      <c r="MJ6" s="29"/>
      <c r="MK6" s="29"/>
      <c r="ML6" s="29"/>
      <c r="MM6" s="29"/>
      <c r="MN6" s="29"/>
      <c r="MO6" s="29"/>
      <c r="MP6" s="29"/>
      <c r="MQ6" s="29"/>
      <c r="MR6" s="29"/>
      <c r="MS6" s="29"/>
      <c r="MT6" s="29"/>
      <c r="MU6" s="29"/>
      <c r="MV6" s="29"/>
      <c r="MW6" s="29"/>
      <c r="MX6" s="29"/>
      <c r="MY6" s="29"/>
      <c r="MZ6" s="29"/>
      <c r="NA6" s="29"/>
      <c r="NB6" s="29"/>
      <c r="NC6" s="29"/>
      <c r="ND6" s="29"/>
      <c r="NE6" s="29"/>
      <c r="NF6" s="29"/>
    </row>
    <row r="7" spans="1:370">
      <c r="A7" s="1" t="s">
        <v>51</v>
      </c>
      <c r="B7" s="40">
        <f>'Paste here'!P7</f>
        <v>0</v>
      </c>
      <c r="C7" s="40"/>
      <c r="D7" s="40"/>
      <c r="G7" s="74"/>
      <c r="H7" s="74"/>
      <c r="I7" s="73"/>
      <c r="J7" s="73"/>
      <c r="K7" s="73"/>
      <c r="L7" s="73"/>
      <c r="M7" s="73"/>
      <c r="N7" s="7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29"/>
      <c r="DC7" s="29"/>
      <c r="DD7" s="29"/>
      <c r="DE7" s="29"/>
      <c r="DF7" s="29"/>
      <c r="DG7" s="29"/>
      <c r="DH7" s="29"/>
      <c r="DI7" s="29"/>
      <c r="DJ7" s="29"/>
      <c r="DK7" s="29"/>
      <c r="DL7" s="29"/>
      <c r="DM7" s="29"/>
      <c r="DN7" s="29"/>
      <c r="DO7" s="29"/>
      <c r="DP7" s="29"/>
      <c r="DQ7" s="29"/>
      <c r="DR7" s="29"/>
      <c r="DS7" s="29"/>
      <c r="DT7" s="29"/>
      <c r="DU7" s="29"/>
      <c r="DV7" s="29"/>
      <c r="DW7" s="29"/>
      <c r="DX7" s="29"/>
      <c r="DY7" s="29"/>
      <c r="DZ7" s="29"/>
      <c r="EA7" s="29"/>
      <c r="EB7" s="29"/>
      <c r="EC7" s="29"/>
      <c r="ED7" s="29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  <c r="FA7" s="29"/>
      <c r="FB7" s="29"/>
      <c r="FC7" s="29"/>
      <c r="FD7" s="29"/>
      <c r="FE7" s="29"/>
      <c r="FF7" s="29"/>
      <c r="FG7" s="29"/>
      <c r="FH7" s="29"/>
      <c r="FI7" s="29"/>
      <c r="FJ7" s="29"/>
      <c r="FK7" s="29"/>
      <c r="FL7" s="29"/>
      <c r="FM7" s="29"/>
      <c r="FN7" s="29"/>
      <c r="FO7" s="29"/>
      <c r="FP7" s="29"/>
      <c r="FQ7" s="29"/>
      <c r="FR7" s="29"/>
      <c r="FS7" s="29"/>
      <c r="FT7" s="29"/>
      <c r="FU7" s="29"/>
      <c r="FV7" s="29"/>
      <c r="FW7" s="29"/>
      <c r="FX7" s="29"/>
      <c r="FY7" s="29"/>
      <c r="FZ7" s="29"/>
      <c r="GA7" s="29"/>
      <c r="GB7" s="29"/>
      <c r="GC7" s="29"/>
      <c r="GD7" s="29"/>
      <c r="GE7" s="29"/>
      <c r="GF7" s="29"/>
      <c r="GG7" s="29"/>
      <c r="GH7" s="29"/>
      <c r="GI7" s="29"/>
      <c r="GJ7" s="29"/>
      <c r="GK7" s="29"/>
      <c r="GL7" s="29"/>
      <c r="GM7" s="29"/>
      <c r="GN7" s="29"/>
      <c r="GO7" s="29"/>
      <c r="GP7" s="29"/>
      <c r="GQ7" s="29"/>
      <c r="GR7" s="29"/>
      <c r="GS7" s="29"/>
      <c r="GT7" s="29"/>
      <c r="GU7" s="29"/>
      <c r="GV7" s="29"/>
      <c r="GW7" s="29"/>
      <c r="GX7" s="29"/>
      <c r="GY7" s="29"/>
      <c r="GZ7" s="29"/>
      <c r="HA7" s="29"/>
      <c r="HB7" s="29"/>
      <c r="HC7" s="29"/>
      <c r="HD7" s="29"/>
      <c r="HE7" s="29"/>
      <c r="HF7" s="29"/>
      <c r="HG7" s="29"/>
      <c r="HH7" s="29"/>
      <c r="HI7" s="29"/>
      <c r="HJ7" s="29"/>
      <c r="HK7" s="29"/>
      <c r="HL7" s="29"/>
      <c r="HM7" s="29"/>
      <c r="HN7" s="29"/>
      <c r="HO7" s="29"/>
      <c r="HP7" s="29"/>
      <c r="HQ7" s="29"/>
      <c r="HR7" s="29"/>
      <c r="HS7" s="29"/>
      <c r="HT7" s="29"/>
      <c r="HU7" s="29"/>
      <c r="HV7" s="29"/>
      <c r="HW7" s="29"/>
      <c r="HX7" s="29"/>
      <c r="HY7" s="29"/>
      <c r="HZ7" s="29"/>
      <c r="IA7" s="29"/>
      <c r="IB7" s="29"/>
      <c r="IC7" s="29"/>
      <c r="ID7" s="29"/>
      <c r="IE7" s="29"/>
      <c r="IF7" s="29"/>
      <c r="IG7" s="29"/>
      <c r="IH7" s="29"/>
      <c r="II7" s="29"/>
      <c r="IJ7" s="29"/>
      <c r="IK7" s="29"/>
      <c r="IL7" s="29"/>
      <c r="IM7" s="29"/>
      <c r="IN7" s="29"/>
      <c r="IO7" s="29"/>
      <c r="IP7" s="29"/>
      <c r="IQ7" s="29"/>
      <c r="IR7" s="29"/>
      <c r="IS7" s="29"/>
      <c r="IT7" s="29"/>
      <c r="IU7" s="29"/>
      <c r="IV7" s="29"/>
      <c r="IW7" s="29"/>
      <c r="IX7" s="29"/>
      <c r="IY7" s="29"/>
      <c r="IZ7" s="29"/>
      <c r="JA7" s="29"/>
      <c r="JB7" s="29"/>
      <c r="JC7" s="29"/>
      <c r="JD7" s="29"/>
      <c r="JE7" s="29"/>
      <c r="JF7" s="29"/>
      <c r="JG7" s="29"/>
      <c r="JH7" s="29"/>
      <c r="JI7" s="29"/>
      <c r="JJ7" s="29"/>
      <c r="JK7" s="29"/>
      <c r="JL7" s="29"/>
      <c r="JM7" s="29"/>
      <c r="JN7" s="29"/>
      <c r="JO7" s="29"/>
      <c r="JP7" s="29"/>
      <c r="JQ7" s="29"/>
      <c r="JR7" s="29"/>
      <c r="JS7" s="29"/>
      <c r="JT7" s="29"/>
      <c r="JU7" s="29"/>
      <c r="JV7" s="29"/>
      <c r="JW7" s="29"/>
      <c r="JX7" s="29"/>
      <c r="JY7" s="29"/>
      <c r="JZ7" s="29"/>
      <c r="KA7" s="29"/>
      <c r="KB7" s="29"/>
      <c r="KC7" s="29"/>
      <c r="KD7" s="29"/>
      <c r="KE7" s="29"/>
      <c r="KF7" s="29"/>
      <c r="KG7" s="29"/>
      <c r="KH7" s="29"/>
      <c r="KI7" s="29"/>
      <c r="KJ7" s="29"/>
      <c r="KK7" s="29"/>
      <c r="KL7" s="29"/>
      <c r="KM7" s="29"/>
      <c r="KN7" s="29"/>
      <c r="KO7" s="29"/>
      <c r="KP7" s="29"/>
      <c r="KQ7" s="29"/>
      <c r="KR7" s="29"/>
      <c r="KS7" s="29"/>
      <c r="KT7" s="29"/>
      <c r="KU7" s="29"/>
      <c r="KV7" s="29"/>
      <c r="KW7" s="29"/>
      <c r="KX7" s="29"/>
      <c r="KY7" s="29"/>
      <c r="KZ7" s="29"/>
      <c r="LA7" s="29"/>
      <c r="LB7" s="29"/>
      <c r="LC7" s="29"/>
      <c r="LD7" s="29"/>
      <c r="LE7" s="29"/>
      <c r="LF7" s="29"/>
      <c r="LG7" s="29"/>
      <c r="LH7" s="29"/>
      <c r="LI7" s="29"/>
      <c r="LJ7" s="29"/>
      <c r="LK7" s="29"/>
      <c r="LL7" s="29"/>
      <c r="LM7" s="29"/>
      <c r="LN7" s="29"/>
      <c r="LO7" s="29"/>
      <c r="LP7" s="29"/>
      <c r="LQ7" s="29"/>
      <c r="LR7" s="29"/>
      <c r="LS7" s="29"/>
      <c r="LT7" s="29"/>
      <c r="LU7" s="29"/>
      <c r="LV7" s="29"/>
      <c r="LW7" s="29"/>
      <c r="LX7" s="29"/>
      <c r="LY7" s="29"/>
      <c r="LZ7" s="29"/>
      <c r="MA7" s="29"/>
      <c r="MB7" s="29"/>
      <c r="MC7" s="29"/>
      <c r="MD7" s="29"/>
      <c r="ME7" s="29"/>
      <c r="MF7" s="29"/>
      <c r="MG7" s="29"/>
      <c r="MH7" s="29"/>
      <c r="MI7" s="29"/>
      <c r="MJ7" s="29"/>
      <c r="MK7" s="29"/>
      <c r="ML7" s="29"/>
      <c r="MM7" s="29"/>
      <c r="MN7" s="29"/>
      <c r="MO7" s="29"/>
      <c r="MP7" s="29"/>
      <c r="MQ7" s="29"/>
      <c r="MR7" s="29"/>
      <c r="MS7" s="29"/>
      <c r="MT7" s="29"/>
      <c r="MU7" s="29"/>
      <c r="MV7" s="29"/>
      <c r="MW7" s="29"/>
      <c r="MX7" s="29"/>
      <c r="MY7" s="29"/>
      <c r="MZ7" s="29"/>
      <c r="NA7" s="29"/>
      <c r="NB7" s="29"/>
      <c r="NC7" s="29"/>
      <c r="ND7" s="29"/>
      <c r="NE7" s="29"/>
      <c r="NF7" s="29"/>
    </row>
    <row r="8" spans="1:370">
      <c r="B8" s="77"/>
      <c r="C8" s="77"/>
      <c r="D8" s="77"/>
      <c r="G8" s="74"/>
      <c r="H8" s="74"/>
      <c r="I8" s="73"/>
      <c r="J8" s="73"/>
      <c r="K8" s="73"/>
      <c r="L8" s="73"/>
      <c r="M8" s="73"/>
      <c r="N8" s="7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  <c r="IS8" s="29"/>
      <c r="IT8" s="29"/>
      <c r="IU8" s="29"/>
      <c r="IV8" s="29"/>
      <c r="IW8" s="29"/>
      <c r="IX8" s="29"/>
      <c r="IY8" s="29"/>
      <c r="IZ8" s="29"/>
      <c r="JA8" s="29"/>
      <c r="JB8" s="29"/>
      <c r="JC8" s="29"/>
      <c r="JD8" s="29"/>
      <c r="JE8" s="29"/>
      <c r="JF8" s="29"/>
      <c r="JG8" s="29"/>
      <c r="JH8" s="29"/>
      <c r="JI8" s="29"/>
      <c r="JJ8" s="29"/>
      <c r="JK8" s="29"/>
      <c r="JL8" s="29"/>
      <c r="JM8" s="29"/>
      <c r="JN8" s="29"/>
      <c r="JO8" s="29"/>
      <c r="JP8" s="29"/>
      <c r="JQ8" s="29"/>
      <c r="JR8" s="29"/>
      <c r="JS8" s="29"/>
      <c r="JT8" s="29"/>
      <c r="JU8" s="29"/>
      <c r="JV8" s="29"/>
      <c r="JW8" s="29"/>
      <c r="JX8" s="29"/>
      <c r="JY8" s="29"/>
      <c r="JZ8" s="29"/>
      <c r="KA8" s="29"/>
      <c r="KB8" s="29"/>
      <c r="KC8" s="29"/>
      <c r="KD8" s="29"/>
      <c r="KE8" s="29"/>
      <c r="KF8" s="29"/>
      <c r="KG8" s="29"/>
      <c r="KH8" s="29"/>
      <c r="KI8" s="29"/>
      <c r="KJ8" s="29"/>
      <c r="KK8" s="29"/>
      <c r="KL8" s="29"/>
      <c r="KM8" s="29"/>
      <c r="KN8" s="29"/>
      <c r="KO8" s="29"/>
      <c r="KP8" s="29"/>
      <c r="KQ8" s="29"/>
      <c r="KR8" s="29"/>
      <c r="KS8" s="29"/>
      <c r="KT8" s="29"/>
      <c r="KU8" s="29"/>
      <c r="KV8" s="29"/>
      <c r="KW8" s="29"/>
      <c r="KX8" s="29"/>
      <c r="KY8" s="29"/>
      <c r="KZ8" s="29"/>
      <c r="LA8" s="29"/>
      <c r="LB8" s="29"/>
      <c r="LC8" s="29"/>
      <c r="LD8" s="29"/>
      <c r="LE8" s="29"/>
      <c r="LF8" s="29"/>
      <c r="LG8" s="29"/>
      <c r="LH8" s="29"/>
      <c r="LI8" s="29"/>
      <c r="LJ8" s="29"/>
      <c r="LK8" s="29"/>
      <c r="LL8" s="29"/>
      <c r="LM8" s="29"/>
      <c r="LN8" s="29"/>
      <c r="LO8" s="29"/>
      <c r="LP8" s="29"/>
      <c r="LQ8" s="29"/>
      <c r="LR8" s="29"/>
      <c r="LS8" s="29"/>
      <c r="LT8" s="29"/>
      <c r="LU8" s="29"/>
      <c r="LV8" s="29"/>
      <c r="LW8" s="29"/>
      <c r="LX8" s="29"/>
      <c r="LY8" s="29"/>
      <c r="LZ8" s="29"/>
      <c r="MA8" s="29"/>
      <c r="MB8" s="29"/>
      <c r="MC8" s="29"/>
      <c r="MD8" s="29"/>
      <c r="ME8" s="29"/>
      <c r="MF8" s="29"/>
      <c r="MG8" s="29"/>
      <c r="MH8" s="29"/>
      <c r="MI8" s="29"/>
      <c r="MJ8" s="29"/>
      <c r="MK8" s="29"/>
      <c r="ML8" s="29"/>
      <c r="MM8" s="29"/>
      <c r="MN8" s="29"/>
      <c r="MO8" s="29"/>
      <c r="MP8" s="29"/>
      <c r="MQ8" s="29"/>
      <c r="MR8" s="29"/>
      <c r="MS8" s="29"/>
      <c r="MT8" s="29"/>
      <c r="MU8" s="29"/>
      <c r="MV8" s="29"/>
      <c r="MW8" s="29"/>
      <c r="MX8" s="29"/>
      <c r="MY8" s="29"/>
      <c r="MZ8" s="29"/>
      <c r="NA8" s="29"/>
      <c r="NB8" s="29"/>
      <c r="NC8" s="29"/>
      <c r="ND8" s="29"/>
      <c r="NE8" s="29"/>
      <c r="NF8" s="29"/>
    </row>
    <row r="9" spans="1:370" ht="12" customHeight="1">
      <c r="G9" s="74"/>
      <c r="H9" s="74"/>
      <c r="I9" s="73"/>
      <c r="J9" s="73"/>
      <c r="K9" s="73"/>
      <c r="L9" s="73"/>
      <c r="M9" s="73"/>
      <c r="N9" s="7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  <c r="IS9" s="29"/>
      <c r="IT9" s="29"/>
      <c r="IU9" s="29"/>
      <c r="IV9" s="29"/>
      <c r="IW9" s="29"/>
      <c r="IX9" s="29"/>
      <c r="IY9" s="29"/>
      <c r="IZ9" s="29"/>
      <c r="JA9" s="29"/>
      <c r="JB9" s="29"/>
      <c r="JC9" s="29"/>
      <c r="JD9" s="29"/>
      <c r="JE9" s="29"/>
      <c r="JF9" s="29"/>
      <c r="JG9" s="29"/>
      <c r="JH9" s="29"/>
      <c r="JI9" s="29"/>
      <c r="JJ9" s="29"/>
      <c r="JK9" s="29"/>
      <c r="JL9" s="29"/>
      <c r="JM9" s="29"/>
      <c r="JN9" s="29"/>
      <c r="JO9" s="29"/>
      <c r="JP9" s="29"/>
      <c r="JQ9" s="29"/>
      <c r="JR9" s="29"/>
      <c r="JS9" s="29"/>
      <c r="JT9" s="29"/>
      <c r="JU9" s="29"/>
      <c r="JV9" s="29"/>
      <c r="JW9" s="29"/>
      <c r="JX9" s="29"/>
      <c r="JY9" s="29"/>
      <c r="JZ9" s="29"/>
      <c r="KA9" s="29"/>
      <c r="KB9" s="29"/>
      <c r="KC9" s="29"/>
      <c r="KD9" s="29"/>
      <c r="KE9" s="29"/>
      <c r="KF9" s="29"/>
      <c r="KG9" s="29"/>
      <c r="KH9" s="29"/>
      <c r="KI9" s="29"/>
      <c r="KJ9" s="29"/>
      <c r="KK9" s="29"/>
      <c r="KL9" s="29"/>
      <c r="KM9" s="29"/>
      <c r="KN9" s="29"/>
      <c r="KO9" s="29"/>
      <c r="KP9" s="29"/>
      <c r="KQ9" s="29"/>
      <c r="KR9" s="29"/>
      <c r="KS9" s="29"/>
      <c r="KT9" s="29"/>
      <c r="KU9" s="29"/>
      <c r="KV9" s="29"/>
      <c r="KW9" s="29"/>
      <c r="KX9" s="29"/>
      <c r="KY9" s="29"/>
      <c r="KZ9" s="29"/>
      <c r="LA9" s="29"/>
      <c r="LB9" s="29"/>
      <c r="LC9" s="29"/>
      <c r="LD9" s="29"/>
      <c r="LE9" s="29"/>
      <c r="LF9" s="29"/>
      <c r="LG9" s="29"/>
      <c r="LH9" s="29"/>
      <c r="LI9" s="29"/>
      <c r="LJ9" s="29"/>
      <c r="LK9" s="29"/>
      <c r="LL9" s="29"/>
      <c r="LM9" s="29"/>
      <c r="LN9" s="29"/>
      <c r="LO9" s="29"/>
      <c r="LP9" s="29"/>
      <c r="LQ9" s="29"/>
      <c r="LR9" s="29"/>
      <c r="LS9" s="29"/>
      <c r="LT9" s="29"/>
      <c r="LU9" s="29"/>
      <c r="LV9" s="29"/>
      <c r="LW9" s="29"/>
      <c r="LX9" s="29"/>
      <c r="LY9" s="29"/>
      <c r="LZ9" s="29"/>
      <c r="MA9" s="29"/>
      <c r="MB9" s="29"/>
      <c r="MC9" s="29"/>
      <c r="MD9" s="29"/>
      <c r="ME9" s="29"/>
      <c r="MF9" s="29"/>
      <c r="MG9" s="29"/>
      <c r="MH9" s="29"/>
      <c r="MI9" s="29"/>
      <c r="MJ9" s="29"/>
      <c r="MK9" s="29"/>
      <c r="ML9" s="29"/>
      <c r="MM9" s="29"/>
      <c r="MN9" s="29"/>
      <c r="MO9" s="29"/>
      <c r="MP9" s="29"/>
      <c r="MQ9" s="29"/>
      <c r="MR9" s="29"/>
      <c r="MS9" s="29"/>
      <c r="MT9" s="29"/>
      <c r="MU9" s="29"/>
      <c r="MV9" s="29"/>
      <c r="MW9" s="29"/>
      <c r="MX9" s="29"/>
      <c r="MY9" s="29"/>
      <c r="MZ9" s="29"/>
      <c r="NA9" s="29"/>
      <c r="NB9" s="29"/>
      <c r="NC9" s="29"/>
      <c r="ND9" s="29"/>
      <c r="NE9" s="29"/>
      <c r="NF9" s="29"/>
    </row>
    <row r="10" spans="1:370" ht="12" customHeight="1">
      <c r="A10" s="32" t="s">
        <v>5</v>
      </c>
      <c r="B10" s="33" t="s">
        <v>6</v>
      </c>
      <c r="C10" s="34"/>
      <c r="D10" s="33" t="s">
        <v>66</v>
      </c>
      <c r="E10" s="33" t="s">
        <v>56</v>
      </c>
      <c r="G10" s="62" t="s">
        <v>0</v>
      </c>
      <c r="H10" s="65" t="s">
        <v>68</v>
      </c>
      <c r="I10" s="60"/>
      <c r="J10" s="48"/>
      <c r="K10" s="48"/>
      <c r="L10" s="48"/>
      <c r="M10" s="61"/>
      <c r="N10" s="66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29"/>
      <c r="DK10" s="29"/>
      <c r="DL10" s="29"/>
      <c r="DM10" s="29"/>
      <c r="DN10" s="29"/>
      <c r="DO10" s="29"/>
      <c r="DP10" s="29"/>
      <c r="DQ10" s="29"/>
      <c r="DR10" s="29"/>
      <c r="DS10" s="29"/>
      <c r="DT10" s="29"/>
      <c r="DU10" s="29"/>
      <c r="DV10" s="29"/>
      <c r="DW10" s="29"/>
      <c r="DX10" s="29"/>
      <c r="DY10" s="29"/>
      <c r="DZ10" s="29"/>
      <c r="EA10" s="29"/>
      <c r="EB10" s="29"/>
      <c r="EC10" s="29"/>
      <c r="ED10" s="29"/>
      <c r="EE10" s="29"/>
      <c r="EF10" s="29"/>
      <c r="EG10" s="29"/>
      <c r="EH10" s="29"/>
      <c r="EI10" s="29"/>
      <c r="EJ10" s="29"/>
      <c r="EK10" s="29"/>
      <c r="EL10" s="29"/>
      <c r="EM10" s="29"/>
      <c r="EN10" s="29"/>
      <c r="EO10" s="29"/>
      <c r="EP10" s="29"/>
      <c r="EQ10" s="29"/>
      <c r="ER10" s="29"/>
      <c r="ES10" s="29"/>
      <c r="ET10" s="29"/>
      <c r="EU10" s="29"/>
      <c r="EV10" s="29"/>
      <c r="EW10" s="29"/>
      <c r="EX10" s="29"/>
      <c r="EY10" s="29"/>
      <c r="EZ10" s="29"/>
      <c r="FA10" s="29"/>
      <c r="FB10" s="29"/>
      <c r="FC10" s="29"/>
      <c r="FD10" s="29"/>
      <c r="FE10" s="29"/>
      <c r="FF10" s="29"/>
      <c r="FG10" s="29"/>
      <c r="FH10" s="29"/>
      <c r="FI10" s="29"/>
      <c r="FJ10" s="29"/>
      <c r="FK10" s="29"/>
      <c r="FL10" s="29"/>
      <c r="FM10" s="29"/>
      <c r="FN10" s="29"/>
      <c r="FO10" s="29"/>
      <c r="FP10" s="29"/>
      <c r="FQ10" s="29"/>
      <c r="FR10" s="29"/>
      <c r="FS10" s="29"/>
      <c r="FT10" s="29"/>
      <c r="FU10" s="29"/>
      <c r="FV10" s="29"/>
      <c r="FW10" s="29"/>
      <c r="FX10" s="29"/>
      <c r="FY10" s="29"/>
      <c r="FZ10" s="29"/>
      <c r="GA10" s="29"/>
      <c r="GB10" s="29"/>
      <c r="GC10" s="29"/>
      <c r="GD10" s="29"/>
      <c r="GE10" s="29"/>
      <c r="GF10" s="29"/>
      <c r="GG10" s="29"/>
      <c r="GH10" s="29"/>
      <c r="GI10" s="29"/>
      <c r="GJ10" s="29"/>
      <c r="GK10" s="29"/>
      <c r="GL10" s="29"/>
      <c r="GM10" s="29"/>
      <c r="GN10" s="29"/>
      <c r="GO10" s="29"/>
      <c r="GP10" s="29"/>
      <c r="GQ10" s="29"/>
      <c r="GR10" s="29"/>
      <c r="GS10" s="29"/>
      <c r="GT10" s="29"/>
      <c r="GU10" s="29"/>
      <c r="GV10" s="29"/>
      <c r="GW10" s="29"/>
      <c r="GX10" s="29"/>
      <c r="GY10" s="29"/>
      <c r="GZ10" s="29"/>
      <c r="HA10" s="29"/>
      <c r="HB10" s="29"/>
      <c r="HC10" s="29"/>
      <c r="HD10" s="29"/>
      <c r="HE10" s="29"/>
      <c r="HF10" s="29"/>
      <c r="HG10" s="29"/>
      <c r="HH10" s="29"/>
      <c r="HI10" s="29"/>
      <c r="HJ10" s="29"/>
      <c r="HK10" s="29"/>
      <c r="HL10" s="29"/>
      <c r="HM10" s="29"/>
      <c r="HN10" s="29"/>
      <c r="HO10" s="29"/>
      <c r="HP10" s="29"/>
      <c r="HQ10" s="29"/>
      <c r="HR10" s="29"/>
      <c r="HS10" s="29"/>
      <c r="HT10" s="29"/>
      <c r="HU10" s="29"/>
      <c r="HV10" s="29"/>
      <c r="HW10" s="29"/>
      <c r="HX10" s="29"/>
      <c r="HY10" s="29"/>
      <c r="HZ10" s="29"/>
      <c r="IA10" s="29"/>
      <c r="IB10" s="29"/>
      <c r="IC10" s="29"/>
      <c r="ID10" s="29"/>
      <c r="IE10" s="29"/>
      <c r="IF10" s="29"/>
      <c r="IG10" s="29"/>
      <c r="IH10" s="29"/>
      <c r="II10" s="29"/>
      <c r="IJ10" s="29"/>
      <c r="IK10" s="29"/>
      <c r="IL10" s="29"/>
      <c r="IM10" s="29"/>
      <c r="IN10" s="29"/>
      <c r="IO10" s="29"/>
      <c r="IP10" s="29"/>
      <c r="IQ10" s="29"/>
      <c r="IR10" s="29"/>
      <c r="IS10" s="29"/>
      <c r="IT10" s="29"/>
      <c r="IU10" s="29"/>
      <c r="IV10" s="29"/>
      <c r="IW10" s="29"/>
      <c r="IX10" s="29"/>
      <c r="IY10" s="29"/>
      <c r="IZ10" s="29"/>
      <c r="JA10" s="29"/>
      <c r="JB10" s="29"/>
      <c r="JC10" s="29"/>
      <c r="JD10" s="29"/>
      <c r="JE10" s="29"/>
      <c r="JF10" s="29"/>
      <c r="JG10" s="29"/>
      <c r="JH10" s="29"/>
      <c r="JI10" s="29"/>
      <c r="JJ10" s="29"/>
      <c r="JK10" s="29"/>
      <c r="JL10" s="29"/>
      <c r="JM10" s="29"/>
      <c r="JN10" s="29"/>
      <c r="JO10" s="29"/>
      <c r="JP10" s="29"/>
      <c r="JQ10" s="29"/>
      <c r="JR10" s="29"/>
      <c r="JS10" s="29"/>
      <c r="JT10" s="29"/>
      <c r="JU10" s="29"/>
      <c r="JV10" s="29"/>
      <c r="JW10" s="29"/>
      <c r="JX10" s="29"/>
      <c r="JY10" s="29"/>
      <c r="JZ10" s="29"/>
      <c r="KA10" s="29"/>
      <c r="KB10" s="29"/>
      <c r="KC10" s="29"/>
      <c r="KD10" s="29"/>
      <c r="KE10" s="29"/>
      <c r="KF10" s="29"/>
      <c r="KG10" s="29"/>
      <c r="KH10" s="29"/>
      <c r="KI10" s="29"/>
      <c r="KJ10" s="29"/>
      <c r="KK10" s="29"/>
      <c r="KL10" s="29"/>
      <c r="KM10" s="29"/>
      <c r="KN10" s="29"/>
      <c r="KO10" s="29"/>
      <c r="KP10" s="29"/>
      <c r="KQ10" s="29"/>
      <c r="KR10" s="29"/>
      <c r="KS10" s="29"/>
      <c r="KT10" s="29"/>
      <c r="KU10" s="29"/>
      <c r="KV10" s="29"/>
      <c r="KW10" s="29"/>
      <c r="KX10" s="29"/>
      <c r="KY10" s="29"/>
      <c r="KZ10" s="29"/>
      <c r="LA10" s="29"/>
      <c r="LB10" s="29"/>
      <c r="LC10" s="29"/>
      <c r="LD10" s="29"/>
      <c r="LE10" s="29"/>
      <c r="LF10" s="29"/>
      <c r="LG10" s="29"/>
      <c r="LH10" s="29"/>
      <c r="LI10" s="29"/>
      <c r="LJ10" s="29"/>
      <c r="LK10" s="29"/>
      <c r="LL10" s="29"/>
      <c r="LM10" s="29"/>
      <c r="LN10" s="29"/>
      <c r="LO10" s="29"/>
      <c r="LP10" s="29"/>
      <c r="LQ10" s="29"/>
      <c r="LR10" s="29"/>
      <c r="LS10" s="29"/>
      <c r="LT10" s="29"/>
      <c r="LU10" s="29"/>
      <c r="LV10" s="29"/>
      <c r="LW10" s="29"/>
      <c r="LX10" s="29"/>
      <c r="LY10" s="29"/>
      <c r="LZ10" s="29"/>
      <c r="MA10" s="29"/>
      <c r="MB10" s="29"/>
      <c r="MC10" s="29"/>
      <c r="MD10" s="29"/>
      <c r="ME10" s="29"/>
      <c r="MF10" s="29"/>
      <c r="MG10" s="29"/>
      <c r="MH10" s="29"/>
      <c r="MI10" s="29"/>
      <c r="MJ10" s="29"/>
      <c r="MK10" s="29"/>
      <c r="ML10" s="29"/>
      <c r="MM10" s="29"/>
      <c r="MN10" s="29"/>
      <c r="MO10" s="29"/>
      <c r="MP10" s="29"/>
      <c r="MQ10" s="29"/>
      <c r="MR10" s="29"/>
      <c r="MS10" s="29"/>
      <c r="MT10" s="29"/>
      <c r="MU10" s="29"/>
      <c r="MV10" s="29"/>
      <c r="MW10" s="29"/>
      <c r="MX10" s="29"/>
      <c r="MY10" s="29"/>
      <c r="MZ10" s="29"/>
      <c r="NA10" s="29"/>
      <c r="NB10" s="29"/>
      <c r="NC10" s="29"/>
      <c r="ND10" s="29"/>
      <c r="NE10" s="29"/>
      <c r="NF10" s="29"/>
    </row>
    <row r="11" spans="1:370" ht="12" customHeight="1">
      <c r="A11" s="6" t="s">
        <v>7</v>
      </c>
      <c r="D11" s="2"/>
      <c r="G11" s="63"/>
      <c r="H11" s="66"/>
      <c r="I11" s="60"/>
      <c r="J11" s="48"/>
      <c r="K11" s="48"/>
      <c r="L11" s="48"/>
      <c r="M11" s="61"/>
      <c r="N11" s="66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</row>
    <row r="12" spans="1:370" s="22" customFormat="1" ht="12" customHeight="1">
      <c r="A12" s="15" t="s">
        <v>8</v>
      </c>
      <c r="B12" s="21">
        <f>'Paste here'!C65</f>
        <v>0</v>
      </c>
      <c r="C12" s="8"/>
      <c r="D12" s="9">
        <f>(G12-50)/10</f>
        <v>-6.666666666666667</v>
      </c>
      <c r="E12" s="23" t="str">
        <f>IF(G12&lt;30,"&lt;1",(NORMDIST(G12,50,10,1)*100))</f>
        <v>&lt;1</v>
      </c>
      <c r="F12"/>
      <c r="G12" s="63">
        <f>50+((('Paste here'!C65-100)/15)*10)</f>
        <v>-16.666666666666671</v>
      </c>
      <c r="H12" s="63">
        <f>G12-50</f>
        <v>-66.666666666666671</v>
      </c>
      <c r="I12" s="60">
        <v>50</v>
      </c>
      <c r="J12" s="48">
        <v>40</v>
      </c>
      <c r="K12" s="48">
        <v>30</v>
      </c>
      <c r="L12" s="48">
        <v>60</v>
      </c>
      <c r="M12" s="61">
        <v>70</v>
      </c>
      <c r="N12" s="66">
        <v>50.5</v>
      </c>
      <c r="O12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</row>
    <row r="13" spans="1:370" s="38" customFormat="1" ht="12" customHeight="1">
      <c r="A13" s="39" t="s">
        <v>9</v>
      </c>
      <c r="B13" s="36">
        <f>'Paste here'!B72</f>
        <v>0</v>
      </c>
      <c r="C13" s="37"/>
      <c r="D13" s="27">
        <f>(G13-50)/10</f>
        <v>-3</v>
      </c>
      <c r="E13" s="68">
        <f>'Paste here'!E72</f>
        <v>0</v>
      </c>
      <c r="F13"/>
      <c r="G13" s="63">
        <f>IF('Paste here'!D72&lt;20,20,'Paste here'!D72)</f>
        <v>20</v>
      </c>
      <c r="H13" s="63">
        <f>G13-50</f>
        <v>-30</v>
      </c>
      <c r="I13" s="60">
        <v>50</v>
      </c>
      <c r="J13" s="48">
        <v>40</v>
      </c>
      <c r="K13" s="48">
        <v>30</v>
      </c>
      <c r="L13" s="48">
        <v>60</v>
      </c>
      <c r="M13" s="61">
        <v>70</v>
      </c>
      <c r="N13" s="66">
        <v>49.5</v>
      </c>
      <c r="O13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</row>
    <row r="14" spans="1:370" s="22" customFormat="1" ht="12" customHeight="1">
      <c r="A14" s="53" t="s">
        <v>10</v>
      </c>
      <c r="B14" s="21">
        <f>'Paste here'!P10</f>
        <v>0</v>
      </c>
      <c r="C14" s="8"/>
      <c r="D14" s="9"/>
      <c r="E14" s="69" t="s">
        <v>57</v>
      </c>
      <c r="F14"/>
      <c r="G14" s="63"/>
      <c r="H14" s="63"/>
      <c r="I14" s="60">
        <v>50</v>
      </c>
      <c r="J14" s="48">
        <v>40</v>
      </c>
      <c r="K14" s="48">
        <v>30</v>
      </c>
      <c r="L14" s="48">
        <v>60</v>
      </c>
      <c r="M14" s="61">
        <v>70</v>
      </c>
      <c r="N14" s="66">
        <v>48.5</v>
      </c>
      <c r="O14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</row>
    <row r="15" spans="1:370" ht="12" customHeight="1">
      <c r="A15" s="54" t="s">
        <v>11</v>
      </c>
      <c r="B15" s="35">
        <f>'Paste here'!P11</f>
        <v>0</v>
      </c>
      <c r="D15" s="11"/>
      <c r="E15" s="70" t="s">
        <v>57</v>
      </c>
      <c r="G15" s="63"/>
      <c r="H15" s="63"/>
      <c r="I15" s="60">
        <v>50</v>
      </c>
      <c r="J15" s="48">
        <v>40</v>
      </c>
      <c r="K15" s="48">
        <v>30</v>
      </c>
      <c r="L15" s="48">
        <v>60</v>
      </c>
      <c r="M15" s="61">
        <v>70</v>
      </c>
      <c r="N15" s="66">
        <v>47.5</v>
      </c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</row>
    <row r="16" spans="1:370" s="22" customFormat="1" ht="12" customHeight="1">
      <c r="A16" s="53" t="s">
        <v>12</v>
      </c>
      <c r="B16" s="21">
        <f>'Paste here'!P12</f>
        <v>0</v>
      </c>
      <c r="C16" s="8"/>
      <c r="D16" s="9"/>
      <c r="E16" s="69" t="s">
        <v>57</v>
      </c>
      <c r="F16"/>
      <c r="G16" s="63"/>
      <c r="H16" s="63"/>
      <c r="I16" s="60">
        <v>50</v>
      </c>
      <c r="J16" s="48">
        <v>40</v>
      </c>
      <c r="K16" s="48">
        <v>30</v>
      </c>
      <c r="L16" s="48">
        <v>60</v>
      </c>
      <c r="M16" s="61">
        <v>70</v>
      </c>
      <c r="N16" s="66">
        <v>46.5</v>
      </c>
      <c r="O16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</row>
    <row r="17" spans="1:370" ht="12" customHeight="1">
      <c r="A17" s="54" t="s">
        <v>13</v>
      </c>
      <c r="B17" s="35">
        <f>'Paste here'!P13</f>
        <v>0</v>
      </c>
      <c r="D17" s="11"/>
      <c r="E17" s="70" t="s">
        <v>57</v>
      </c>
      <c r="G17" s="63"/>
      <c r="H17" s="63"/>
      <c r="I17" s="60">
        <v>50</v>
      </c>
      <c r="J17" s="48">
        <v>40</v>
      </c>
      <c r="K17" s="48">
        <v>30</v>
      </c>
      <c r="L17" s="48">
        <v>60</v>
      </c>
      <c r="M17" s="61">
        <v>70</v>
      </c>
      <c r="N17" s="66">
        <v>45.5</v>
      </c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</row>
    <row r="18" spans="1:370" s="22" customFormat="1" ht="12" customHeight="1">
      <c r="A18" s="53" t="s">
        <v>14</v>
      </c>
      <c r="B18" s="21">
        <f>'Paste here'!P14</f>
        <v>0</v>
      </c>
      <c r="C18" s="8"/>
      <c r="D18" s="9"/>
      <c r="E18" s="69" t="s">
        <v>57</v>
      </c>
      <c r="F18"/>
      <c r="G18" s="63"/>
      <c r="H18" s="63"/>
      <c r="I18" s="60">
        <v>50</v>
      </c>
      <c r="J18" s="48">
        <v>40</v>
      </c>
      <c r="K18" s="48">
        <v>30</v>
      </c>
      <c r="L18" s="48">
        <v>60</v>
      </c>
      <c r="M18" s="61">
        <v>70</v>
      </c>
      <c r="N18" s="66">
        <v>44.5</v>
      </c>
      <c r="O1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</row>
    <row r="19" spans="1:370" ht="12" customHeight="1">
      <c r="A19" s="31"/>
      <c r="D19" s="11"/>
      <c r="E19" s="24"/>
      <c r="G19" s="63"/>
      <c r="H19" s="63"/>
      <c r="I19" s="60">
        <v>50</v>
      </c>
      <c r="J19" s="48">
        <v>40</v>
      </c>
      <c r="K19" s="48">
        <v>30</v>
      </c>
      <c r="L19" s="48">
        <v>60</v>
      </c>
      <c r="M19" s="61">
        <v>70</v>
      </c>
      <c r="N19" s="66">
        <v>43.5</v>
      </c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</row>
    <row r="20" spans="1:370" ht="12" customHeight="1">
      <c r="A20" s="14" t="s">
        <v>15</v>
      </c>
      <c r="D20" s="11"/>
      <c r="E20" s="24"/>
      <c r="G20" s="63"/>
      <c r="H20" s="63"/>
      <c r="I20" s="60">
        <v>50</v>
      </c>
      <c r="J20" s="48">
        <v>40</v>
      </c>
      <c r="K20" s="48">
        <v>30</v>
      </c>
      <c r="L20" s="48">
        <v>60</v>
      </c>
      <c r="M20" s="61">
        <v>70</v>
      </c>
      <c r="N20" s="66">
        <v>42.5</v>
      </c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</row>
    <row r="21" spans="1:370" s="22" customFormat="1" ht="12" customHeight="1">
      <c r="A21" s="15" t="s">
        <v>16</v>
      </c>
      <c r="B21" s="21">
        <f>'Paste here'!B110</f>
        <v>0</v>
      </c>
      <c r="C21" s="8"/>
      <c r="D21" s="9">
        <f>(G21-50)/10</f>
        <v>-3</v>
      </c>
      <c r="E21" s="23">
        <f>'Paste here'!E110</f>
        <v>0</v>
      </c>
      <c r="F21"/>
      <c r="G21" s="97">
        <f>IF('Paste here'!D110&lt;20,20,'Paste here'!D110)</f>
        <v>20</v>
      </c>
      <c r="H21" s="63">
        <f>G21-50</f>
        <v>-30</v>
      </c>
      <c r="I21" s="60">
        <v>50</v>
      </c>
      <c r="J21" s="48">
        <v>40</v>
      </c>
      <c r="K21" s="48">
        <v>30</v>
      </c>
      <c r="L21" s="48">
        <v>60</v>
      </c>
      <c r="M21" s="61">
        <v>70</v>
      </c>
      <c r="N21" s="66">
        <v>41.5</v>
      </c>
      <c r="O21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</row>
    <row r="22" spans="1:370" s="38" customFormat="1" ht="12" customHeight="1">
      <c r="A22" s="55" t="s">
        <v>17</v>
      </c>
      <c r="B22" s="36">
        <f>'Paste here'!B107</f>
        <v>0</v>
      </c>
      <c r="C22" s="37"/>
      <c r="D22" s="27">
        <f>(G22-50)/10</f>
        <v>-3</v>
      </c>
      <c r="E22" s="68">
        <f>'Paste here'!E107</f>
        <v>0</v>
      </c>
      <c r="F22"/>
      <c r="G22" s="97">
        <f>IF('Paste here'!D107&lt;20,20,'Paste here'!D107)</f>
        <v>20</v>
      </c>
      <c r="H22" s="63">
        <f>G22-50</f>
        <v>-30</v>
      </c>
      <c r="I22" s="60">
        <v>50</v>
      </c>
      <c r="J22" s="48">
        <v>40</v>
      </c>
      <c r="K22" s="48">
        <v>30</v>
      </c>
      <c r="L22" s="48">
        <v>60</v>
      </c>
      <c r="M22" s="61">
        <v>70</v>
      </c>
      <c r="N22" s="66">
        <v>40.5</v>
      </c>
      <c r="O22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</row>
    <row r="23" spans="1:370" s="22" customFormat="1" ht="12" customHeight="1">
      <c r="A23" s="56" t="s">
        <v>18</v>
      </c>
      <c r="B23" s="21">
        <f>'Paste here'!B109</f>
        <v>0</v>
      </c>
      <c r="C23" s="8"/>
      <c r="D23" s="9">
        <f>(G23-50)/10</f>
        <v>-3</v>
      </c>
      <c r="E23" s="23">
        <f>'Paste here'!E109</f>
        <v>0</v>
      </c>
      <c r="F23"/>
      <c r="G23" s="97">
        <f>IF('Paste here'!D109&lt;20,20,'Paste here'!D109)</f>
        <v>20</v>
      </c>
      <c r="H23" s="63">
        <f>G23-50</f>
        <v>-30</v>
      </c>
      <c r="I23" s="60">
        <v>50</v>
      </c>
      <c r="J23" s="48">
        <v>40</v>
      </c>
      <c r="K23" s="48">
        <v>30</v>
      </c>
      <c r="L23" s="48">
        <v>60</v>
      </c>
      <c r="M23" s="61">
        <v>70</v>
      </c>
      <c r="N23" s="66">
        <v>39.5</v>
      </c>
      <c r="O23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</row>
    <row r="24" spans="1:370" ht="12" customHeight="1">
      <c r="A24" s="13"/>
      <c r="D24" s="11"/>
      <c r="E24" s="24"/>
      <c r="G24" s="63"/>
      <c r="H24" s="63"/>
      <c r="I24" s="60">
        <v>50</v>
      </c>
      <c r="J24" s="48">
        <v>40</v>
      </c>
      <c r="K24" s="48">
        <v>30</v>
      </c>
      <c r="L24" s="48">
        <v>60</v>
      </c>
      <c r="M24" s="61">
        <v>70</v>
      </c>
      <c r="N24" s="66">
        <v>38.5</v>
      </c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</row>
    <row r="25" spans="1:370" ht="12" customHeight="1">
      <c r="A25" s="14" t="s">
        <v>19</v>
      </c>
      <c r="D25" s="11"/>
      <c r="E25" s="24"/>
      <c r="G25" s="63"/>
      <c r="H25" s="63"/>
      <c r="I25" s="60">
        <v>50</v>
      </c>
      <c r="J25" s="48">
        <v>40</v>
      </c>
      <c r="K25" s="48">
        <v>30</v>
      </c>
      <c r="L25" s="48">
        <v>60</v>
      </c>
      <c r="M25" s="61">
        <v>70</v>
      </c>
      <c r="N25" s="66">
        <v>37.5</v>
      </c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  <c r="IS25" s="29"/>
      <c r="IT25" s="29"/>
      <c r="IU25" s="29"/>
      <c r="IV25" s="29"/>
      <c r="IW25" s="29"/>
      <c r="IX25" s="29"/>
      <c r="IY25" s="29"/>
      <c r="IZ25" s="29"/>
      <c r="JA25" s="29"/>
      <c r="JB25" s="29"/>
      <c r="JC25" s="29"/>
      <c r="JD25" s="29"/>
      <c r="JE25" s="29"/>
      <c r="JF25" s="29"/>
      <c r="JG25" s="29"/>
      <c r="JH25" s="29"/>
      <c r="JI25" s="29"/>
      <c r="JJ25" s="29"/>
      <c r="JK25" s="29"/>
      <c r="JL25" s="29"/>
      <c r="JM25" s="29"/>
      <c r="JN25" s="29"/>
      <c r="JO25" s="29"/>
      <c r="JP25" s="29"/>
      <c r="JQ25" s="29"/>
      <c r="JR25" s="29"/>
      <c r="JS25" s="29"/>
      <c r="JT25" s="29"/>
      <c r="JU25" s="29"/>
      <c r="JV25" s="29"/>
      <c r="JW25" s="29"/>
      <c r="JX25" s="29"/>
      <c r="JY25" s="29"/>
      <c r="JZ25" s="29"/>
      <c r="KA25" s="29"/>
      <c r="KB25" s="29"/>
      <c r="KC25" s="29"/>
      <c r="KD25" s="29"/>
      <c r="KE25" s="29"/>
      <c r="KF25" s="29"/>
      <c r="KG25" s="29"/>
      <c r="KH25" s="29"/>
      <c r="KI25" s="29"/>
      <c r="KJ25" s="29"/>
      <c r="KK25" s="29"/>
      <c r="KL25" s="29"/>
      <c r="KM25" s="29"/>
      <c r="KN25" s="29"/>
      <c r="KO25" s="29"/>
      <c r="KP25" s="29"/>
      <c r="KQ25" s="29"/>
      <c r="KR25" s="29"/>
      <c r="KS25" s="29"/>
      <c r="KT25" s="29"/>
      <c r="KU25" s="29"/>
      <c r="KV25" s="29"/>
      <c r="KW25" s="29"/>
      <c r="KX25" s="29"/>
      <c r="KY25" s="29"/>
      <c r="KZ25" s="29"/>
      <c r="LA25" s="29"/>
      <c r="LB25" s="29"/>
      <c r="LC25" s="29"/>
      <c r="LD25" s="29"/>
      <c r="LE25" s="29"/>
      <c r="LF25" s="29"/>
      <c r="LG25" s="29"/>
      <c r="LH25" s="29"/>
      <c r="LI25" s="29"/>
      <c r="LJ25" s="29"/>
      <c r="LK25" s="29"/>
      <c r="LL25" s="29"/>
      <c r="LM25" s="29"/>
      <c r="LN25" s="29"/>
      <c r="LO25" s="29"/>
      <c r="LP25" s="29"/>
      <c r="LQ25" s="29"/>
      <c r="LR25" s="29"/>
      <c r="LS25" s="29"/>
      <c r="LT25" s="29"/>
      <c r="LU25" s="29"/>
      <c r="LV25" s="29"/>
      <c r="LW25" s="29"/>
      <c r="LX25" s="29"/>
      <c r="LY25" s="29"/>
      <c r="LZ25" s="29"/>
      <c r="MA25" s="29"/>
      <c r="MB25" s="29"/>
      <c r="MC25" s="29"/>
      <c r="MD25" s="29"/>
      <c r="ME25" s="29"/>
      <c r="MF25" s="29"/>
      <c r="MG25" s="29"/>
      <c r="MH25" s="29"/>
      <c r="MI25" s="29"/>
      <c r="MJ25" s="29"/>
      <c r="MK25" s="29"/>
      <c r="ML25" s="29"/>
      <c r="MM25" s="29"/>
      <c r="MN25" s="29"/>
      <c r="MO25" s="29"/>
      <c r="MP25" s="29"/>
      <c r="MQ25" s="29"/>
      <c r="MR25" s="29"/>
      <c r="MS25" s="29"/>
      <c r="MT25" s="29"/>
      <c r="MU25" s="29"/>
      <c r="MV25" s="29"/>
      <c r="MW25" s="29"/>
      <c r="MX25" s="29"/>
      <c r="MY25" s="29"/>
      <c r="MZ25" s="29"/>
      <c r="NA25" s="29"/>
      <c r="NB25" s="29"/>
      <c r="NC25" s="29"/>
      <c r="ND25" s="29"/>
      <c r="NE25" s="29"/>
      <c r="NF25" s="29"/>
    </row>
    <row r="26" spans="1:370" s="22" customFormat="1" ht="12" customHeight="1">
      <c r="A26" s="15" t="s">
        <v>20</v>
      </c>
      <c r="B26" s="58">
        <f>'Paste here'!P17</f>
        <v>0</v>
      </c>
      <c r="C26" s="8"/>
      <c r="D26" s="9"/>
      <c r="E26" s="69" t="s">
        <v>57</v>
      </c>
      <c r="F26"/>
      <c r="G26" s="63"/>
      <c r="H26" s="63"/>
      <c r="I26" s="60">
        <v>50</v>
      </c>
      <c r="J26" s="48">
        <v>40</v>
      </c>
      <c r="K26" s="48">
        <v>30</v>
      </c>
      <c r="L26" s="48">
        <v>60</v>
      </c>
      <c r="M26" s="61">
        <v>70</v>
      </c>
      <c r="N26" s="66">
        <v>36.5</v>
      </c>
      <c r="O26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29"/>
      <c r="ER26" s="2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29"/>
      <c r="FL26" s="2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29"/>
      <c r="GF26" s="2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  <c r="GZ26" s="29"/>
      <c r="HA26" s="29"/>
      <c r="HB26" s="29"/>
      <c r="HC26" s="29"/>
      <c r="HD26" s="29"/>
      <c r="HE26" s="29"/>
      <c r="HF26" s="29"/>
      <c r="HG26" s="29"/>
      <c r="HH26" s="29"/>
      <c r="HI26" s="29"/>
      <c r="HJ26" s="29"/>
      <c r="HK26" s="29"/>
      <c r="HL26" s="29"/>
      <c r="HM26" s="29"/>
      <c r="HN26" s="29"/>
      <c r="HO26" s="29"/>
      <c r="HP26" s="29"/>
      <c r="HQ26" s="29"/>
      <c r="HR26" s="29"/>
      <c r="HS26" s="29"/>
      <c r="HT26" s="29"/>
      <c r="HU26" s="29"/>
      <c r="HV26" s="29"/>
      <c r="HW26" s="29"/>
      <c r="HX26" s="29"/>
      <c r="HY26" s="29"/>
      <c r="HZ26" s="29"/>
      <c r="IA26" s="29"/>
      <c r="IB26" s="29"/>
      <c r="IC26" s="29"/>
      <c r="ID26" s="29"/>
      <c r="IE26" s="29"/>
      <c r="IF26" s="29"/>
      <c r="IG26" s="29"/>
      <c r="IH26" s="29"/>
      <c r="II26" s="29"/>
      <c r="IJ26" s="29"/>
      <c r="IK26" s="29"/>
      <c r="IL26" s="29"/>
      <c r="IM26" s="29"/>
      <c r="IN26" s="29"/>
      <c r="IO26" s="29"/>
      <c r="IP26" s="29"/>
      <c r="IQ26" s="29"/>
      <c r="IR26" s="29"/>
      <c r="IS26" s="29"/>
      <c r="IT26" s="29"/>
      <c r="IU26" s="29"/>
      <c r="IV26" s="29"/>
      <c r="IW26" s="29"/>
      <c r="IX26" s="29"/>
      <c r="IY26" s="29"/>
      <c r="IZ26" s="29"/>
      <c r="JA26" s="29"/>
      <c r="JB26" s="29"/>
      <c r="JC26" s="29"/>
      <c r="JD26" s="29"/>
      <c r="JE26" s="29"/>
      <c r="JF26" s="29"/>
      <c r="JG26" s="29"/>
      <c r="JH26" s="29"/>
      <c r="JI26" s="29"/>
      <c r="JJ26" s="29"/>
      <c r="JK26" s="29"/>
      <c r="JL26" s="29"/>
      <c r="JM26" s="29"/>
      <c r="JN26" s="29"/>
      <c r="JO26" s="29"/>
      <c r="JP26" s="29"/>
      <c r="JQ26" s="29"/>
      <c r="JR26" s="29"/>
      <c r="JS26" s="29"/>
      <c r="JT26" s="29"/>
      <c r="JU26" s="29"/>
      <c r="JV26" s="29"/>
      <c r="JW26" s="29"/>
      <c r="JX26" s="29"/>
      <c r="JY26" s="29"/>
      <c r="JZ26" s="29"/>
      <c r="KA26" s="29"/>
      <c r="KB26" s="29"/>
      <c r="KC26" s="29"/>
      <c r="KD26" s="29"/>
      <c r="KE26" s="29"/>
      <c r="KF26" s="29"/>
      <c r="KG26" s="29"/>
      <c r="KH26" s="29"/>
      <c r="KI26" s="29"/>
      <c r="KJ26" s="29"/>
      <c r="KK26" s="29"/>
      <c r="KL26" s="29"/>
      <c r="KM26" s="29"/>
      <c r="KN26" s="29"/>
      <c r="KO26" s="29"/>
      <c r="KP26" s="29"/>
      <c r="KQ26" s="29"/>
      <c r="KR26" s="29"/>
      <c r="KS26" s="29"/>
      <c r="KT26" s="29"/>
      <c r="KU26" s="29"/>
      <c r="KV26" s="29"/>
      <c r="KW26" s="29"/>
      <c r="KX26" s="29"/>
      <c r="KY26" s="29"/>
      <c r="KZ26" s="29"/>
      <c r="LA26" s="29"/>
      <c r="LB26" s="29"/>
      <c r="LC26" s="29"/>
      <c r="LD26" s="29"/>
      <c r="LE26" s="29"/>
      <c r="LF26" s="29"/>
      <c r="LG26" s="29"/>
      <c r="LH26" s="29"/>
      <c r="LI26" s="29"/>
      <c r="LJ26" s="29"/>
      <c r="LK26" s="29"/>
      <c r="LL26" s="29"/>
      <c r="LM26" s="29"/>
      <c r="LN26" s="29"/>
      <c r="LO26" s="29"/>
      <c r="LP26" s="29"/>
      <c r="LQ26" s="29"/>
      <c r="LR26" s="29"/>
      <c r="LS26" s="29"/>
      <c r="LT26" s="29"/>
      <c r="LU26" s="29"/>
      <c r="LV26" s="29"/>
      <c r="LW26" s="29"/>
      <c r="LX26" s="29"/>
      <c r="LY26" s="29"/>
      <c r="LZ26" s="29"/>
      <c r="MA26" s="29"/>
      <c r="MB26" s="29"/>
      <c r="MC26" s="29"/>
      <c r="MD26" s="29"/>
      <c r="ME26" s="29"/>
      <c r="MF26" s="29"/>
      <c r="MG26" s="29"/>
      <c r="MH26" s="29"/>
      <c r="MI26" s="29"/>
      <c r="MJ26" s="29"/>
      <c r="MK26" s="29"/>
      <c r="ML26" s="29"/>
      <c r="MM26" s="29"/>
      <c r="MN26" s="29"/>
      <c r="MO26" s="29"/>
      <c r="MP26" s="29"/>
      <c r="MQ26" s="29"/>
      <c r="MR26" s="29"/>
      <c r="MS26" s="29"/>
      <c r="MT26" s="29"/>
      <c r="MU26" s="29"/>
      <c r="MV26" s="29"/>
      <c r="MW26" s="29"/>
      <c r="MX26" s="29"/>
      <c r="MY26" s="29"/>
      <c r="MZ26" s="29"/>
      <c r="NA26" s="29"/>
      <c r="NB26" s="29"/>
      <c r="NC26" s="29"/>
      <c r="ND26" s="29"/>
      <c r="NE26" s="29"/>
      <c r="NF26" s="29"/>
    </row>
    <row r="27" spans="1:370" s="38" customFormat="1" ht="12" customHeight="1">
      <c r="A27" s="39" t="s">
        <v>21</v>
      </c>
      <c r="B27" s="36">
        <f>'Paste here'!B99</f>
        <v>0</v>
      </c>
      <c r="C27" s="37"/>
      <c r="D27" s="27">
        <f>(G27-50)/10</f>
        <v>-3</v>
      </c>
      <c r="E27" s="68">
        <f>'Paste here'!E99</f>
        <v>0</v>
      </c>
      <c r="F27"/>
      <c r="G27" s="97">
        <f>IF('Paste here'!D99&lt;20,20,'Paste here'!D99)</f>
        <v>20</v>
      </c>
      <c r="H27" s="63">
        <f>G27-50</f>
        <v>-30</v>
      </c>
      <c r="I27" s="60">
        <v>50</v>
      </c>
      <c r="J27" s="48">
        <v>40</v>
      </c>
      <c r="K27" s="48">
        <v>30</v>
      </c>
      <c r="L27" s="48">
        <v>60</v>
      </c>
      <c r="M27" s="61">
        <v>70</v>
      </c>
      <c r="N27" s="66">
        <v>35.5</v>
      </c>
      <c r="O27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  <c r="IS27" s="29"/>
      <c r="IT27" s="29"/>
      <c r="IU27" s="29"/>
      <c r="IV27" s="29"/>
      <c r="IW27" s="29"/>
      <c r="IX27" s="29"/>
      <c r="IY27" s="29"/>
      <c r="IZ27" s="29"/>
      <c r="JA27" s="29"/>
      <c r="JB27" s="29"/>
      <c r="JC27" s="29"/>
      <c r="JD27" s="29"/>
      <c r="JE27" s="29"/>
      <c r="JF27" s="29"/>
      <c r="JG27" s="29"/>
      <c r="JH27" s="29"/>
      <c r="JI27" s="29"/>
      <c r="JJ27" s="29"/>
      <c r="JK27" s="29"/>
      <c r="JL27" s="29"/>
      <c r="JM27" s="29"/>
      <c r="JN27" s="29"/>
      <c r="JO27" s="29"/>
      <c r="JP27" s="29"/>
      <c r="JQ27" s="29"/>
      <c r="JR27" s="29"/>
      <c r="JS27" s="29"/>
      <c r="JT27" s="29"/>
      <c r="JU27" s="29"/>
      <c r="JV27" s="29"/>
      <c r="JW27" s="29"/>
      <c r="JX27" s="29"/>
      <c r="JY27" s="29"/>
      <c r="JZ27" s="29"/>
      <c r="KA27" s="29"/>
      <c r="KB27" s="29"/>
      <c r="KC27" s="29"/>
      <c r="KD27" s="29"/>
      <c r="KE27" s="29"/>
      <c r="KF27" s="29"/>
      <c r="KG27" s="29"/>
      <c r="KH27" s="29"/>
      <c r="KI27" s="29"/>
      <c r="KJ27" s="29"/>
      <c r="KK27" s="29"/>
      <c r="KL27" s="29"/>
      <c r="KM27" s="29"/>
      <c r="KN27" s="29"/>
      <c r="KO27" s="29"/>
      <c r="KP27" s="29"/>
      <c r="KQ27" s="29"/>
      <c r="KR27" s="29"/>
      <c r="KS27" s="29"/>
      <c r="KT27" s="29"/>
      <c r="KU27" s="29"/>
      <c r="KV27" s="29"/>
      <c r="KW27" s="29"/>
      <c r="KX27" s="29"/>
      <c r="KY27" s="29"/>
      <c r="KZ27" s="29"/>
      <c r="LA27" s="29"/>
      <c r="LB27" s="29"/>
      <c r="LC27" s="29"/>
      <c r="LD27" s="29"/>
      <c r="LE27" s="29"/>
      <c r="LF27" s="29"/>
      <c r="LG27" s="29"/>
      <c r="LH27" s="29"/>
      <c r="LI27" s="29"/>
      <c r="LJ27" s="29"/>
      <c r="LK27" s="29"/>
      <c r="LL27" s="29"/>
      <c r="LM27" s="29"/>
      <c r="LN27" s="29"/>
      <c r="LO27" s="29"/>
      <c r="LP27" s="29"/>
      <c r="LQ27" s="29"/>
      <c r="LR27" s="29"/>
      <c r="LS27" s="29"/>
      <c r="LT27" s="29"/>
      <c r="LU27" s="29"/>
      <c r="LV27" s="29"/>
      <c r="LW27" s="29"/>
      <c r="LX27" s="29"/>
      <c r="LY27" s="29"/>
      <c r="LZ27" s="29"/>
      <c r="MA27" s="29"/>
      <c r="MB27" s="29"/>
      <c r="MC27" s="29"/>
      <c r="MD27" s="29"/>
      <c r="ME27" s="29"/>
      <c r="MF27" s="29"/>
      <c r="MG27" s="29"/>
      <c r="MH27" s="29"/>
      <c r="MI27" s="29"/>
      <c r="MJ27" s="29"/>
      <c r="MK27" s="29"/>
      <c r="ML27" s="29"/>
      <c r="MM27" s="29"/>
      <c r="MN27" s="29"/>
      <c r="MO27" s="29"/>
      <c r="MP27" s="29"/>
      <c r="MQ27" s="29"/>
      <c r="MR27" s="29"/>
      <c r="MS27" s="29"/>
      <c r="MT27" s="29"/>
      <c r="MU27" s="29"/>
      <c r="MV27" s="29"/>
      <c r="MW27" s="29"/>
      <c r="MX27" s="29"/>
      <c r="MY27" s="29"/>
      <c r="MZ27" s="29"/>
      <c r="NA27" s="29"/>
      <c r="NB27" s="29"/>
      <c r="NC27" s="29"/>
      <c r="ND27" s="29"/>
      <c r="NE27" s="29"/>
      <c r="NF27" s="29"/>
    </row>
    <row r="28" spans="1:370" s="22" customFormat="1" ht="12" customHeight="1">
      <c r="A28" s="15" t="s">
        <v>22</v>
      </c>
      <c r="B28" s="21">
        <f>'Paste here'!B100</f>
        <v>0</v>
      </c>
      <c r="C28" s="8"/>
      <c r="D28" s="9">
        <f>(G28-50)/10</f>
        <v>-3</v>
      </c>
      <c r="E28" s="23">
        <f>'Paste here'!E100</f>
        <v>0</v>
      </c>
      <c r="F28" s="96"/>
      <c r="G28" s="97">
        <f>IF('Paste here'!D100&lt;20,20,'Paste here'!D100)</f>
        <v>20</v>
      </c>
      <c r="H28" s="63">
        <f>G28-50</f>
        <v>-30</v>
      </c>
      <c r="I28" s="60">
        <v>50</v>
      </c>
      <c r="J28" s="48">
        <v>40</v>
      </c>
      <c r="K28" s="48">
        <v>30</v>
      </c>
      <c r="L28" s="48">
        <v>60</v>
      </c>
      <c r="M28" s="61">
        <v>70</v>
      </c>
      <c r="N28" s="66">
        <v>34.5</v>
      </c>
      <c r="O2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29"/>
      <c r="JF28" s="29"/>
      <c r="JG28" s="29"/>
      <c r="JH28" s="29"/>
      <c r="JI28" s="29"/>
      <c r="JJ28" s="29"/>
      <c r="JK28" s="29"/>
      <c r="JL28" s="29"/>
      <c r="JM28" s="29"/>
      <c r="JN28" s="29"/>
      <c r="JO28" s="29"/>
      <c r="JP28" s="29"/>
      <c r="JQ28" s="29"/>
      <c r="JR28" s="29"/>
      <c r="JS28" s="29"/>
      <c r="JT28" s="29"/>
      <c r="JU28" s="29"/>
      <c r="JV28" s="29"/>
      <c r="JW28" s="29"/>
      <c r="JX28" s="29"/>
      <c r="JY28" s="29"/>
      <c r="JZ28" s="29"/>
      <c r="KA28" s="29"/>
      <c r="KB28" s="29"/>
      <c r="KC28" s="29"/>
      <c r="KD28" s="29"/>
      <c r="KE28" s="29"/>
      <c r="KF28" s="29"/>
      <c r="KG28" s="29"/>
      <c r="KH28" s="29"/>
      <c r="KI28" s="29"/>
      <c r="KJ28" s="29"/>
      <c r="KK28" s="29"/>
      <c r="KL28" s="29"/>
      <c r="KM28" s="29"/>
      <c r="KN28" s="29"/>
      <c r="KO28" s="29"/>
      <c r="KP28" s="29"/>
      <c r="KQ28" s="29"/>
      <c r="KR28" s="29"/>
      <c r="KS28" s="29"/>
      <c r="KT28" s="29"/>
      <c r="KU28" s="29"/>
      <c r="KV28" s="29"/>
      <c r="KW28" s="29"/>
      <c r="KX28" s="29"/>
      <c r="KY28" s="29"/>
      <c r="KZ28" s="29"/>
      <c r="LA28" s="29"/>
      <c r="LB28" s="29"/>
      <c r="LC28" s="29"/>
      <c r="LD28" s="29"/>
      <c r="LE28" s="29"/>
      <c r="LF28" s="29"/>
      <c r="LG28" s="29"/>
      <c r="LH28" s="29"/>
      <c r="LI28" s="29"/>
      <c r="LJ28" s="29"/>
      <c r="LK28" s="29"/>
      <c r="LL28" s="29"/>
      <c r="LM28" s="29"/>
      <c r="LN28" s="29"/>
      <c r="LO28" s="29"/>
      <c r="LP28" s="29"/>
      <c r="LQ28" s="29"/>
      <c r="LR28" s="29"/>
      <c r="LS28" s="29"/>
      <c r="LT28" s="29"/>
      <c r="LU28" s="29"/>
      <c r="LV28" s="29"/>
      <c r="LW28" s="29"/>
      <c r="LX28" s="29"/>
      <c r="LY28" s="29"/>
      <c r="LZ28" s="29"/>
      <c r="MA28" s="29"/>
      <c r="MB28" s="29"/>
      <c r="MC28" s="29"/>
      <c r="MD28" s="29"/>
      <c r="ME28" s="29"/>
      <c r="MF28" s="29"/>
      <c r="MG28" s="29"/>
      <c r="MH28" s="29"/>
      <c r="MI28" s="29"/>
      <c r="MJ28" s="29"/>
      <c r="MK28" s="29"/>
      <c r="ML28" s="29"/>
      <c r="MM28" s="29"/>
      <c r="MN28" s="29"/>
      <c r="MO28" s="29"/>
      <c r="MP28" s="29"/>
      <c r="MQ28" s="29"/>
      <c r="MR28" s="29"/>
      <c r="MS28" s="29"/>
      <c r="MT28" s="29"/>
      <c r="MU28" s="29"/>
      <c r="MV28" s="29"/>
      <c r="MW28" s="29"/>
      <c r="MX28" s="29"/>
      <c r="MY28" s="29"/>
      <c r="MZ28" s="29"/>
      <c r="NA28" s="29"/>
      <c r="NB28" s="29"/>
      <c r="NC28" s="29"/>
      <c r="ND28" s="29"/>
      <c r="NE28" s="29"/>
      <c r="NF28" s="29"/>
    </row>
    <row r="29" spans="1:370" ht="12" customHeight="1">
      <c r="A29" s="10"/>
      <c r="D29" s="11"/>
      <c r="E29" s="24"/>
      <c r="G29" s="63"/>
      <c r="H29" s="63"/>
      <c r="I29" s="60">
        <v>50</v>
      </c>
      <c r="J29" s="48">
        <v>40</v>
      </c>
      <c r="K29" s="48">
        <v>30</v>
      </c>
      <c r="L29" s="48">
        <v>60</v>
      </c>
      <c r="M29" s="61">
        <v>70</v>
      </c>
      <c r="N29" s="66">
        <v>33.5</v>
      </c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  <c r="IS29" s="29"/>
      <c r="IT29" s="29"/>
      <c r="IU29" s="29"/>
      <c r="IV29" s="29"/>
      <c r="IW29" s="29"/>
      <c r="IX29" s="29"/>
      <c r="IY29" s="29"/>
      <c r="IZ29" s="29"/>
      <c r="JA29" s="29"/>
      <c r="JB29" s="29"/>
      <c r="JC29" s="29"/>
      <c r="JD29" s="29"/>
      <c r="JE29" s="29"/>
      <c r="JF29" s="29"/>
      <c r="JG29" s="29"/>
      <c r="JH29" s="29"/>
      <c r="JI29" s="29"/>
      <c r="JJ29" s="29"/>
      <c r="JK29" s="29"/>
      <c r="JL29" s="29"/>
      <c r="JM29" s="29"/>
      <c r="JN29" s="29"/>
      <c r="JO29" s="29"/>
      <c r="JP29" s="29"/>
      <c r="JQ29" s="29"/>
      <c r="JR29" s="29"/>
      <c r="JS29" s="29"/>
      <c r="JT29" s="29"/>
      <c r="JU29" s="29"/>
      <c r="JV29" s="29"/>
      <c r="JW29" s="29"/>
      <c r="JX29" s="29"/>
      <c r="JY29" s="29"/>
      <c r="JZ29" s="29"/>
      <c r="KA29" s="29"/>
      <c r="KB29" s="29"/>
      <c r="KC29" s="29"/>
      <c r="KD29" s="29"/>
      <c r="KE29" s="29"/>
      <c r="KF29" s="29"/>
      <c r="KG29" s="29"/>
      <c r="KH29" s="29"/>
      <c r="KI29" s="29"/>
      <c r="KJ29" s="29"/>
      <c r="KK29" s="29"/>
      <c r="KL29" s="29"/>
      <c r="KM29" s="29"/>
      <c r="KN29" s="29"/>
      <c r="KO29" s="29"/>
      <c r="KP29" s="29"/>
      <c r="KQ29" s="29"/>
      <c r="KR29" s="29"/>
      <c r="KS29" s="29"/>
      <c r="KT29" s="29"/>
      <c r="KU29" s="29"/>
      <c r="KV29" s="29"/>
      <c r="KW29" s="29"/>
      <c r="KX29" s="29"/>
      <c r="KY29" s="29"/>
      <c r="KZ29" s="29"/>
      <c r="LA29" s="29"/>
      <c r="LB29" s="29"/>
      <c r="LC29" s="29"/>
      <c r="LD29" s="29"/>
      <c r="LE29" s="29"/>
      <c r="LF29" s="29"/>
      <c r="LG29" s="29"/>
      <c r="LH29" s="29"/>
      <c r="LI29" s="29"/>
      <c r="LJ29" s="29"/>
      <c r="LK29" s="29"/>
      <c r="LL29" s="29"/>
      <c r="LM29" s="29"/>
      <c r="LN29" s="29"/>
      <c r="LO29" s="29"/>
      <c r="LP29" s="29"/>
      <c r="LQ29" s="29"/>
      <c r="LR29" s="29"/>
      <c r="LS29" s="29"/>
      <c r="LT29" s="29"/>
      <c r="LU29" s="29"/>
      <c r="LV29" s="29"/>
      <c r="LW29" s="29"/>
      <c r="LX29" s="29"/>
      <c r="LY29" s="29"/>
      <c r="LZ29" s="29"/>
      <c r="MA29" s="29"/>
      <c r="MB29" s="29"/>
      <c r="MC29" s="29"/>
      <c r="MD29" s="29"/>
      <c r="ME29" s="29"/>
      <c r="MF29" s="29"/>
      <c r="MG29" s="29"/>
      <c r="MH29" s="29"/>
      <c r="MI29" s="29"/>
      <c r="MJ29" s="29"/>
      <c r="MK29" s="29"/>
      <c r="ML29" s="29"/>
      <c r="MM29" s="29"/>
      <c r="MN29" s="29"/>
      <c r="MO29" s="29"/>
      <c r="MP29" s="29"/>
      <c r="MQ29" s="29"/>
      <c r="MR29" s="29"/>
      <c r="MS29" s="29"/>
      <c r="MT29" s="29"/>
      <c r="MU29" s="29"/>
      <c r="MV29" s="29"/>
      <c r="MW29" s="29"/>
      <c r="MX29" s="29"/>
      <c r="MY29" s="29"/>
      <c r="MZ29" s="29"/>
      <c r="NA29" s="29"/>
      <c r="NB29" s="29"/>
      <c r="NC29" s="29"/>
      <c r="ND29" s="29"/>
      <c r="NE29" s="29"/>
      <c r="NF29" s="29"/>
    </row>
    <row r="30" spans="1:370" ht="12" customHeight="1">
      <c r="A30" s="14" t="s">
        <v>23</v>
      </c>
      <c r="D30" s="11"/>
      <c r="E30" s="24"/>
      <c r="G30" s="63"/>
      <c r="H30" s="63"/>
      <c r="I30" s="60">
        <v>50</v>
      </c>
      <c r="J30" s="48">
        <v>40</v>
      </c>
      <c r="K30" s="48">
        <v>30</v>
      </c>
      <c r="L30" s="48">
        <v>60</v>
      </c>
      <c r="M30" s="61">
        <v>70</v>
      </c>
      <c r="N30" s="66">
        <v>32.5</v>
      </c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  <c r="IS30" s="29"/>
      <c r="IT30" s="29"/>
      <c r="IU30" s="29"/>
      <c r="IV30" s="29"/>
      <c r="IW30" s="29"/>
      <c r="IX30" s="29"/>
      <c r="IY30" s="29"/>
      <c r="IZ30" s="29"/>
      <c r="JA30" s="29"/>
      <c r="JB30" s="29"/>
      <c r="JC30" s="29"/>
      <c r="JD30" s="29"/>
      <c r="JE30" s="29"/>
      <c r="JF30" s="29"/>
      <c r="JG30" s="29"/>
      <c r="JH30" s="29"/>
      <c r="JI30" s="29"/>
      <c r="JJ30" s="29"/>
      <c r="JK30" s="29"/>
      <c r="JL30" s="29"/>
      <c r="JM30" s="29"/>
      <c r="JN30" s="29"/>
      <c r="JO30" s="29"/>
      <c r="JP30" s="29"/>
      <c r="JQ30" s="29"/>
      <c r="JR30" s="29"/>
      <c r="JS30" s="29"/>
      <c r="JT30" s="29"/>
      <c r="JU30" s="29"/>
      <c r="JV30" s="29"/>
      <c r="JW30" s="29"/>
      <c r="JX30" s="29"/>
      <c r="JY30" s="29"/>
      <c r="JZ30" s="29"/>
      <c r="KA30" s="29"/>
      <c r="KB30" s="29"/>
      <c r="KC30" s="29"/>
      <c r="KD30" s="29"/>
      <c r="KE30" s="29"/>
      <c r="KF30" s="29"/>
      <c r="KG30" s="29"/>
      <c r="KH30" s="29"/>
      <c r="KI30" s="29"/>
      <c r="KJ30" s="29"/>
      <c r="KK30" s="29"/>
      <c r="KL30" s="29"/>
      <c r="KM30" s="29"/>
      <c r="KN30" s="29"/>
      <c r="KO30" s="29"/>
      <c r="KP30" s="29"/>
      <c r="KQ30" s="29"/>
      <c r="KR30" s="29"/>
      <c r="KS30" s="29"/>
      <c r="KT30" s="29"/>
      <c r="KU30" s="29"/>
      <c r="KV30" s="29"/>
      <c r="KW30" s="29"/>
      <c r="KX30" s="29"/>
      <c r="KY30" s="29"/>
      <c r="KZ30" s="29"/>
      <c r="LA30" s="29"/>
      <c r="LB30" s="29"/>
      <c r="LC30" s="29"/>
      <c r="LD30" s="29"/>
      <c r="LE30" s="29"/>
      <c r="LF30" s="29"/>
      <c r="LG30" s="29"/>
      <c r="LH30" s="29"/>
      <c r="LI30" s="29"/>
      <c r="LJ30" s="29"/>
      <c r="LK30" s="29"/>
      <c r="LL30" s="29"/>
      <c r="LM30" s="29"/>
      <c r="LN30" s="29"/>
      <c r="LO30" s="29"/>
      <c r="LP30" s="29"/>
      <c r="LQ30" s="29"/>
      <c r="LR30" s="29"/>
      <c r="LS30" s="29"/>
      <c r="LT30" s="29"/>
      <c r="LU30" s="29"/>
      <c r="LV30" s="29"/>
      <c r="LW30" s="29"/>
      <c r="LX30" s="29"/>
      <c r="LY30" s="29"/>
      <c r="LZ30" s="29"/>
      <c r="MA30" s="29"/>
      <c r="MB30" s="29"/>
      <c r="MC30" s="29"/>
      <c r="MD30" s="29"/>
      <c r="ME30" s="29"/>
      <c r="MF30" s="29"/>
      <c r="MG30" s="29"/>
      <c r="MH30" s="29"/>
      <c r="MI30" s="29"/>
      <c r="MJ30" s="29"/>
      <c r="MK30" s="29"/>
      <c r="ML30" s="29"/>
      <c r="MM30" s="29"/>
      <c r="MN30" s="29"/>
      <c r="MO30" s="29"/>
      <c r="MP30" s="29"/>
      <c r="MQ30" s="29"/>
      <c r="MR30" s="29"/>
      <c r="MS30" s="29"/>
      <c r="MT30" s="29"/>
      <c r="MU30" s="29"/>
      <c r="MV30" s="29"/>
      <c r="MW30" s="29"/>
      <c r="MX30" s="29"/>
      <c r="MY30" s="29"/>
      <c r="MZ30" s="29"/>
      <c r="NA30" s="29"/>
      <c r="NB30" s="29"/>
      <c r="NC30" s="29"/>
      <c r="ND30" s="29"/>
      <c r="NE30" s="29"/>
      <c r="NF30" s="29"/>
    </row>
    <row r="31" spans="1:370" s="22" customFormat="1" ht="12" customHeight="1">
      <c r="A31" s="15" t="s">
        <v>24</v>
      </c>
      <c r="B31" s="21">
        <f>'Paste here'!B144</f>
        <v>0</v>
      </c>
      <c r="C31" s="8"/>
      <c r="D31" s="9">
        <f>(G31-50)/10</f>
        <v>-3</v>
      </c>
      <c r="E31" s="23">
        <f>'Paste here'!E144</f>
        <v>0</v>
      </c>
      <c r="F31"/>
      <c r="G31" s="97">
        <f>IF('Paste here'!D144&lt;20,20,'Paste here'!D144)</f>
        <v>20</v>
      </c>
      <c r="H31" s="63">
        <f>G31-50</f>
        <v>-30</v>
      </c>
      <c r="I31" s="60">
        <v>50</v>
      </c>
      <c r="J31" s="48">
        <v>40</v>
      </c>
      <c r="K31" s="48">
        <v>30</v>
      </c>
      <c r="L31" s="48">
        <v>60</v>
      </c>
      <c r="M31" s="61">
        <v>70</v>
      </c>
      <c r="N31" s="66">
        <v>31.5</v>
      </c>
      <c r="O31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  <c r="IS31" s="29"/>
      <c r="IT31" s="29"/>
      <c r="IU31" s="29"/>
      <c r="IV31" s="29"/>
      <c r="IW31" s="29"/>
      <c r="IX31" s="29"/>
      <c r="IY31" s="29"/>
      <c r="IZ31" s="29"/>
      <c r="JA31" s="29"/>
      <c r="JB31" s="29"/>
      <c r="JC31" s="29"/>
      <c r="JD31" s="29"/>
      <c r="JE31" s="29"/>
      <c r="JF31" s="29"/>
      <c r="JG31" s="29"/>
      <c r="JH31" s="29"/>
      <c r="JI31" s="29"/>
      <c r="JJ31" s="29"/>
      <c r="JK31" s="29"/>
      <c r="JL31" s="29"/>
      <c r="JM31" s="29"/>
      <c r="JN31" s="29"/>
      <c r="JO31" s="29"/>
      <c r="JP31" s="29"/>
      <c r="JQ31" s="29"/>
      <c r="JR31" s="29"/>
      <c r="JS31" s="29"/>
      <c r="JT31" s="29"/>
      <c r="JU31" s="29"/>
      <c r="JV31" s="29"/>
      <c r="JW31" s="29"/>
      <c r="JX31" s="29"/>
      <c r="JY31" s="29"/>
      <c r="JZ31" s="29"/>
      <c r="KA31" s="29"/>
      <c r="KB31" s="29"/>
      <c r="KC31" s="29"/>
      <c r="KD31" s="29"/>
      <c r="KE31" s="29"/>
      <c r="KF31" s="29"/>
      <c r="KG31" s="29"/>
      <c r="KH31" s="29"/>
      <c r="KI31" s="29"/>
      <c r="KJ31" s="29"/>
      <c r="KK31" s="29"/>
      <c r="KL31" s="29"/>
      <c r="KM31" s="29"/>
      <c r="KN31" s="29"/>
      <c r="KO31" s="29"/>
      <c r="KP31" s="29"/>
      <c r="KQ31" s="29"/>
      <c r="KR31" s="29"/>
      <c r="KS31" s="29"/>
      <c r="KT31" s="29"/>
      <c r="KU31" s="29"/>
      <c r="KV31" s="29"/>
      <c r="KW31" s="29"/>
      <c r="KX31" s="29"/>
      <c r="KY31" s="29"/>
      <c r="KZ31" s="29"/>
      <c r="LA31" s="29"/>
      <c r="LB31" s="29"/>
      <c r="LC31" s="29"/>
      <c r="LD31" s="29"/>
      <c r="LE31" s="29"/>
      <c r="LF31" s="29"/>
      <c r="LG31" s="29"/>
      <c r="LH31" s="29"/>
      <c r="LI31" s="29"/>
      <c r="LJ31" s="29"/>
      <c r="LK31" s="29"/>
      <c r="LL31" s="29"/>
      <c r="LM31" s="29"/>
      <c r="LN31" s="29"/>
      <c r="LO31" s="29"/>
      <c r="LP31" s="29"/>
      <c r="LQ31" s="29"/>
      <c r="LR31" s="29"/>
      <c r="LS31" s="29"/>
      <c r="LT31" s="29"/>
      <c r="LU31" s="29"/>
      <c r="LV31" s="29"/>
      <c r="LW31" s="29"/>
      <c r="LX31" s="29"/>
      <c r="LY31" s="29"/>
      <c r="LZ31" s="29"/>
      <c r="MA31" s="29"/>
      <c r="MB31" s="29"/>
      <c r="MC31" s="29"/>
      <c r="MD31" s="29"/>
      <c r="ME31" s="29"/>
      <c r="MF31" s="29"/>
      <c r="MG31" s="29"/>
      <c r="MH31" s="29"/>
      <c r="MI31" s="29"/>
      <c r="MJ31" s="29"/>
      <c r="MK31" s="29"/>
      <c r="ML31" s="29"/>
      <c r="MM31" s="29"/>
      <c r="MN31" s="29"/>
      <c r="MO31" s="29"/>
      <c r="MP31" s="29"/>
      <c r="MQ31" s="29"/>
      <c r="MR31" s="29"/>
      <c r="MS31" s="29"/>
      <c r="MT31" s="29"/>
      <c r="MU31" s="29"/>
      <c r="MV31" s="29"/>
      <c r="MW31" s="29"/>
      <c r="MX31" s="29"/>
      <c r="MY31" s="29"/>
      <c r="MZ31" s="29"/>
      <c r="NA31" s="29"/>
      <c r="NB31" s="29"/>
      <c r="NC31" s="29"/>
      <c r="ND31" s="29"/>
      <c r="NE31" s="29"/>
      <c r="NF31" s="29"/>
    </row>
    <row r="32" spans="1:370" s="29" customFormat="1" ht="12" customHeight="1">
      <c r="A32" s="42" t="s">
        <v>25</v>
      </c>
      <c r="B32" s="28">
        <f>'Paste here'!B142</f>
        <v>0</v>
      </c>
      <c r="C32" s="26"/>
      <c r="D32" s="27">
        <f>(G32-50)/10</f>
        <v>-3</v>
      </c>
      <c r="E32" s="71">
        <f>'Paste here'!E142</f>
        <v>0</v>
      </c>
      <c r="F32"/>
      <c r="G32" s="97">
        <f>IF('Paste here'!D142&lt;20,20,'Paste here'!D142)</f>
        <v>20</v>
      </c>
      <c r="H32" s="63">
        <f>G32-50</f>
        <v>-30</v>
      </c>
      <c r="I32" s="60">
        <v>50</v>
      </c>
      <c r="J32" s="48">
        <v>40</v>
      </c>
      <c r="K32" s="48">
        <v>30</v>
      </c>
      <c r="L32" s="48">
        <v>60</v>
      </c>
      <c r="M32" s="61">
        <v>70</v>
      </c>
      <c r="N32" s="66">
        <v>30.5</v>
      </c>
      <c r="O32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</row>
    <row r="33" spans="1:370" s="22" customFormat="1" ht="12" customHeight="1">
      <c r="A33" s="53" t="s">
        <v>26</v>
      </c>
      <c r="B33" s="21">
        <f>'Paste here'!B143</f>
        <v>0</v>
      </c>
      <c r="C33" s="8"/>
      <c r="D33" s="9">
        <f>(G33-50)/10</f>
        <v>-3</v>
      </c>
      <c r="E33" s="23">
        <f>'Paste here'!E143</f>
        <v>0</v>
      </c>
      <c r="F33"/>
      <c r="G33" s="97">
        <f>IF('Paste here'!D143&lt;20,20,'Paste here'!D143)</f>
        <v>20</v>
      </c>
      <c r="H33" s="63">
        <f>G33-50</f>
        <v>-30</v>
      </c>
      <c r="I33" s="60">
        <v>50</v>
      </c>
      <c r="J33" s="48">
        <v>40</v>
      </c>
      <c r="K33" s="48">
        <v>30</v>
      </c>
      <c r="L33" s="48">
        <v>60</v>
      </c>
      <c r="M33" s="61">
        <v>70</v>
      </c>
      <c r="N33" s="66">
        <v>29.5</v>
      </c>
      <c r="O33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  <c r="IS33" s="29"/>
      <c r="IT33" s="29"/>
      <c r="IU33" s="29"/>
      <c r="IV33" s="29"/>
      <c r="IW33" s="29"/>
      <c r="IX33" s="29"/>
      <c r="IY33" s="29"/>
      <c r="IZ33" s="29"/>
      <c r="JA33" s="29"/>
      <c r="JB33" s="29"/>
      <c r="JC33" s="29"/>
      <c r="JD33" s="29"/>
      <c r="JE33" s="29"/>
      <c r="JF33" s="29"/>
      <c r="JG33" s="29"/>
      <c r="JH33" s="29"/>
      <c r="JI33" s="29"/>
      <c r="JJ33" s="29"/>
      <c r="JK33" s="29"/>
      <c r="JL33" s="29"/>
      <c r="JM33" s="29"/>
      <c r="JN33" s="29"/>
      <c r="JO33" s="29"/>
      <c r="JP33" s="29"/>
      <c r="JQ33" s="29"/>
      <c r="JR33" s="29"/>
      <c r="JS33" s="29"/>
      <c r="JT33" s="29"/>
      <c r="JU33" s="29"/>
      <c r="JV33" s="29"/>
      <c r="JW33" s="29"/>
      <c r="JX33" s="29"/>
      <c r="JY33" s="29"/>
      <c r="JZ33" s="29"/>
      <c r="KA33" s="29"/>
      <c r="KB33" s="29"/>
      <c r="KC33" s="29"/>
      <c r="KD33" s="29"/>
      <c r="KE33" s="29"/>
      <c r="KF33" s="29"/>
      <c r="KG33" s="29"/>
      <c r="KH33" s="29"/>
      <c r="KI33" s="29"/>
      <c r="KJ33" s="29"/>
      <c r="KK33" s="29"/>
      <c r="KL33" s="29"/>
      <c r="KM33" s="29"/>
      <c r="KN33" s="29"/>
      <c r="KO33" s="29"/>
      <c r="KP33" s="29"/>
      <c r="KQ33" s="29"/>
      <c r="KR33" s="29"/>
      <c r="KS33" s="29"/>
      <c r="KT33" s="29"/>
      <c r="KU33" s="29"/>
      <c r="KV33" s="29"/>
      <c r="KW33" s="29"/>
      <c r="KX33" s="29"/>
      <c r="KY33" s="29"/>
      <c r="KZ33" s="29"/>
      <c r="LA33" s="29"/>
      <c r="LB33" s="29"/>
      <c r="LC33" s="29"/>
      <c r="LD33" s="29"/>
      <c r="LE33" s="29"/>
      <c r="LF33" s="29"/>
      <c r="LG33" s="29"/>
      <c r="LH33" s="29"/>
      <c r="LI33" s="29"/>
      <c r="LJ33" s="29"/>
      <c r="LK33" s="29"/>
      <c r="LL33" s="29"/>
      <c r="LM33" s="29"/>
      <c r="LN33" s="29"/>
      <c r="LO33" s="29"/>
      <c r="LP33" s="29"/>
      <c r="LQ33" s="29"/>
      <c r="LR33" s="29"/>
      <c r="LS33" s="29"/>
      <c r="LT33" s="29"/>
      <c r="LU33" s="29"/>
      <c r="LV33" s="29"/>
      <c r="LW33" s="29"/>
      <c r="LX33" s="29"/>
      <c r="LY33" s="29"/>
      <c r="LZ33" s="29"/>
      <c r="MA33" s="29"/>
      <c r="MB33" s="29"/>
      <c r="MC33" s="29"/>
      <c r="MD33" s="29"/>
      <c r="ME33" s="29"/>
      <c r="MF33" s="29"/>
      <c r="MG33" s="29"/>
      <c r="MH33" s="29"/>
      <c r="MI33" s="29"/>
      <c r="MJ33" s="29"/>
      <c r="MK33" s="29"/>
      <c r="ML33" s="29"/>
      <c r="MM33" s="29"/>
      <c r="MN33" s="29"/>
      <c r="MO33" s="29"/>
      <c r="MP33" s="29"/>
      <c r="MQ33" s="29"/>
      <c r="MR33" s="29"/>
      <c r="MS33" s="29"/>
      <c r="MT33" s="29"/>
      <c r="MU33" s="29"/>
      <c r="MV33" s="29"/>
      <c r="MW33" s="29"/>
      <c r="MX33" s="29"/>
      <c r="MY33" s="29"/>
      <c r="MZ33" s="29"/>
      <c r="NA33" s="29"/>
      <c r="NB33" s="29"/>
      <c r="NC33" s="29"/>
      <c r="ND33" s="29"/>
      <c r="NE33" s="29"/>
      <c r="NF33" s="29"/>
    </row>
    <row r="34" spans="1:370" s="29" customFormat="1" ht="12" customHeight="1">
      <c r="A34" s="41" t="s">
        <v>27</v>
      </c>
      <c r="B34" s="28">
        <f>'Paste here'!B147</f>
        <v>0</v>
      </c>
      <c r="C34" s="26"/>
      <c r="D34" s="27">
        <f>(G34-50)/10</f>
        <v>-3</v>
      </c>
      <c r="E34" s="71">
        <f>'Paste here'!E147</f>
        <v>0</v>
      </c>
      <c r="F34"/>
      <c r="G34" s="97">
        <f>IF('Paste here'!D147&lt;20,20,'Paste here'!D147)</f>
        <v>20</v>
      </c>
      <c r="H34" s="63">
        <f>G34-50</f>
        <v>-30</v>
      </c>
      <c r="I34" s="60">
        <v>50</v>
      </c>
      <c r="J34" s="48">
        <v>40</v>
      </c>
      <c r="K34" s="48">
        <v>30</v>
      </c>
      <c r="L34" s="48">
        <v>60</v>
      </c>
      <c r="M34" s="61">
        <v>70</v>
      </c>
      <c r="N34" s="66">
        <v>28.5</v>
      </c>
      <c r="O34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</row>
    <row r="35" spans="1:370" s="22" customFormat="1" ht="12" customHeight="1">
      <c r="A35" s="53" t="s">
        <v>28</v>
      </c>
      <c r="B35" s="21">
        <f>'Paste here'!B145</f>
        <v>0</v>
      </c>
      <c r="C35" s="8"/>
      <c r="D35" s="9">
        <f>(G35-50)/10</f>
        <v>-3</v>
      </c>
      <c r="E35" s="23">
        <f>'Paste here'!E145</f>
        <v>0</v>
      </c>
      <c r="F35"/>
      <c r="G35" s="97">
        <f>IF('Paste here'!D145&lt;20,20,'Paste here'!D145)</f>
        <v>20</v>
      </c>
      <c r="H35" s="63">
        <f>G35-50</f>
        <v>-30</v>
      </c>
      <c r="I35" s="60">
        <v>50</v>
      </c>
      <c r="J35" s="48">
        <v>40</v>
      </c>
      <c r="K35" s="48">
        <v>30</v>
      </c>
      <c r="L35" s="48">
        <v>60</v>
      </c>
      <c r="M35" s="61">
        <v>70</v>
      </c>
      <c r="N35" s="66">
        <v>27.5</v>
      </c>
      <c r="O35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  <c r="IS35" s="29"/>
      <c r="IT35" s="29"/>
      <c r="IU35" s="29"/>
      <c r="IV35" s="29"/>
      <c r="IW35" s="29"/>
      <c r="IX35" s="29"/>
      <c r="IY35" s="29"/>
      <c r="IZ35" s="29"/>
      <c r="JA35" s="29"/>
      <c r="JB35" s="29"/>
      <c r="JC35" s="29"/>
      <c r="JD35" s="29"/>
      <c r="JE35" s="29"/>
      <c r="JF35" s="29"/>
      <c r="JG35" s="29"/>
      <c r="JH35" s="29"/>
      <c r="JI35" s="29"/>
      <c r="JJ35" s="29"/>
      <c r="JK35" s="29"/>
      <c r="JL35" s="29"/>
      <c r="JM35" s="29"/>
      <c r="JN35" s="29"/>
      <c r="JO35" s="29"/>
      <c r="JP35" s="29"/>
      <c r="JQ35" s="29"/>
      <c r="JR35" s="29"/>
      <c r="JS35" s="29"/>
      <c r="JT35" s="29"/>
      <c r="JU35" s="29"/>
      <c r="JV35" s="29"/>
      <c r="JW35" s="29"/>
      <c r="JX35" s="29"/>
      <c r="JY35" s="29"/>
      <c r="JZ35" s="29"/>
      <c r="KA35" s="29"/>
      <c r="KB35" s="29"/>
      <c r="KC35" s="29"/>
      <c r="KD35" s="29"/>
      <c r="KE35" s="29"/>
      <c r="KF35" s="29"/>
      <c r="KG35" s="29"/>
      <c r="KH35" s="29"/>
      <c r="KI35" s="29"/>
      <c r="KJ35" s="29"/>
      <c r="KK35" s="29"/>
      <c r="KL35" s="29"/>
      <c r="KM35" s="29"/>
      <c r="KN35" s="29"/>
      <c r="KO35" s="29"/>
      <c r="KP35" s="29"/>
      <c r="KQ35" s="29"/>
      <c r="KR35" s="29"/>
      <c r="KS35" s="29"/>
      <c r="KT35" s="29"/>
      <c r="KU35" s="29"/>
      <c r="KV35" s="29"/>
      <c r="KW35" s="29"/>
      <c r="KX35" s="29"/>
      <c r="KY35" s="29"/>
      <c r="KZ35" s="29"/>
      <c r="LA35" s="29"/>
      <c r="LB35" s="29"/>
      <c r="LC35" s="29"/>
      <c r="LD35" s="29"/>
      <c r="LE35" s="29"/>
      <c r="LF35" s="29"/>
      <c r="LG35" s="29"/>
      <c r="LH35" s="29"/>
      <c r="LI35" s="29"/>
      <c r="LJ35" s="29"/>
      <c r="LK35" s="29"/>
      <c r="LL35" s="29"/>
      <c r="LM35" s="29"/>
      <c r="LN35" s="29"/>
      <c r="LO35" s="29"/>
      <c r="LP35" s="29"/>
      <c r="LQ35" s="29"/>
      <c r="LR35" s="29"/>
      <c r="LS35" s="29"/>
      <c r="LT35" s="29"/>
      <c r="LU35" s="29"/>
      <c r="LV35" s="29"/>
      <c r="LW35" s="29"/>
      <c r="LX35" s="29"/>
      <c r="LY35" s="29"/>
      <c r="LZ35" s="29"/>
      <c r="MA35" s="29"/>
      <c r="MB35" s="29"/>
      <c r="MC35" s="29"/>
      <c r="MD35" s="29"/>
      <c r="ME35" s="29"/>
      <c r="MF35" s="29"/>
      <c r="MG35" s="29"/>
      <c r="MH35" s="29"/>
      <c r="MI35" s="29"/>
      <c r="MJ35" s="29"/>
      <c r="MK35" s="29"/>
      <c r="ML35" s="29"/>
      <c r="MM35" s="29"/>
      <c r="MN35" s="29"/>
      <c r="MO35" s="29"/>
      <c r="MP35" s="29"/>
      <c r="MQ35" s="29"/>
      <c r="MR35" s="29"/>
      <c r="MS35" s="29"/>
      <c r="MT35" s="29"/>
      <c r="MU35" s="29"/>
      <c r="MV35" s="29"/>
      <c r="MW35" s="29"/>
      <c r="MX35" s="29"/>
      <c r="MY35" s="29"/>
      <c r="MZ35" s="29"/>
      <c r="NA35" s="29"/>
      <c r="NB35" s="29"/>
      <c r="NC35" s="29"/>
      <c r="ND35" s="29"/>
      <c r="NE35" s="29"/>
      <c r="NF35" s="29"/>
    </row>
    <row r="36" spans="1:370" s="29" customFormat="1" ht="12" customHeight="1">
      <c r="A36" s="42" t="s">
        <v>29</v>
      </c>
      <c r="B36" s="28">
        <f>'Paste here'!B146</f>
        <v>0</v>
      </c>
      <c r="C36" s="26"/>
      <c r="D36" s="27">
        <f>(G36-50)/10</f>
        <v>-3</v>
      </c>
      <c r="E36" s="71">
        <f>'Paste here'!E147</f>
        <v>0</v>
      </c>
      <c r="F36"/>
      <c r="G36" s="97">
        <f>IF('Paste here'!D146&lt;20,20,'Paste here'!D146)</f>
        <v>20</v>
      </c>
      <c r="H36" s="63">
        <f>G36-50</f>
        <v>-30</v>
      </c>
      <c r="I36" s="60">
        <v>50</v>
      </c>
      <c r="J36" s="48">
        <v>40</v>
      </c>
      <c r="K36" s="48">
        <v>30</v>
      </c>
      <c r="L36" s="48">
        <v>60</v>
      </c>
      <c r="M36" s="61">
        <v>70</v>
      </c>
      <c r="N36" s="66">
        <v>26.5</v>
      </c>
      <c r="O36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</row>
    <row r="37" spans="1:370" s="22" customFormat="1" ht="12" customHeight="1">
      <c r="A37" s="15" t="s">
        <v>61</v>
      </c>
      <c r="B37" s="21">
        <f>(G34-G31)/10</f>
        <v>0</v>
      </c>
      <c r="C37" s="8"/>
      <c r="D37" s="9"/>
      <c r="E37" s="23" t="str">
        <f>IF(B37&lt;-1,"Category &lt; Letters",IF(B37&gt;1,"Letters &gt; Category", "Equal Productivity"))</f>
        <v>Equal Productivity</v>
      </c>
      <c r="F37"/>
      <c r="G37" s="63"/>
      <c r="H37" s="63"/>
      <c r="I37" s="60">
        <v>50</v>
      </c>
      <c r="J37" s="48">
        <v>40</v>
      </c>
      <c r="K37" s="48">
        <v>30</v>
      </c>
      <c r="L37" s="48">
        <v>60</v>
      </c>
      <c r="M37" s="61">
        <v>70</v>
      </c>
      <c r="N37" s="66">
        <v>25.5</v>
      </c>
      <c r="O37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  <c r="IS37" s="29"/>
      <c r="IT37" s="29"/>
      <c r="IU37" s="29"/>
      <c r="IV37" s="29"/>
      <c r="IW37" s="29"/>
      <c r="IX37" s="29"/>
      <c r="IY37" s="29"/>
      <c r="IZ37" s="29"/>
      <c r="JA37" s="29"/>
      <c r="JB37" s="29"/>
      <c r="JC37" s="29"/>
      <c r="JD37" s="29"/>
      <c r="JE37" s="29"/>
      <c r="JF37" s="29"/>
      <c r="JG37" s="29"/>
      <c r="JH37" s="29"/>
      <c r="JI37" s="29"/>
      <c r="JJ37" s="29"/>
      <c r="JK37" s="29"/>
      <c r="JL37" s="29"/>
      <c r="JM37" s="29"/>
      <c r="JN37" s="29"/>
      <c r="JO37" s="29"/>
      <c r="JP37" s="29"/>
      <c r="JQ37" s="29"/>
      <c r="JR37" s="29"/>
      <c r="JS37" s="29"/>
      <c r="JT37" s="29"/>
      <c r="JU37" s="29"/>
      <c r="JV37" s="29"/>
      <c r="JW37" s="29"/>
      <c r="JX37" s="29"/>
      <c r="JY37" s="29"/>
      <c r="JZ37" s="29"/>
      <c r="KA37" s="29"/>
      <c r="KB37" s="29"/>
      <c r="KC37" s="29"/>
      <c r="KD37" s="29"/>
      <c r="KE37" s="29"/>
      <c r="KF37" s="29"/>
      <c r="KG37" s="29"/>
      <c r="KH37" s="29"/>
      <c r="KI37" s="29"/>
      <c r="KJ37" s="29"/>
      <c r="KK37" s="29"/>
      <c r="KL37" s="29"/>
      <c r="KM37" s="29"/>
      <c r="KN37" s="29"/>
      <c r="KO37" s="29"/>
      <c r="KP37" s="29"/>
      <c r="KQ37" s="29"/>
      <c r="KR37" s="29"/>
      <c r="KS37" s="29"/>
      <c r="KT37" s="29"/>
      <c r="KU37" s="29"/>
      <c r="KV37" s="29"/>
      <c r="KW37" s="29"/>
      <c r="KX37" s="29"/>
      <c r="KY37" s="29"/>
      <c r="KZ37" s="29"/>
      <c r="LA37" s="29"/>
      <c r="LB37" s="29"/>
      <c r="LC37" s="29"/>
      <c r="LD37" s="29"/>
      <c r="LE37" s="29"/>
      <c r="LF37" s="29"/>
      <c r="LG37" s="29"/>
      <c r="LH37" s="29"/>
      <c r="LI37" s="29"/>
      <c r="LJ37" s="29"/>
      <c r="LK37" s="29"/>
      <c r="LL37" s="29"/>
      <c r="LM37" s="29"/>
      <c r="LN37" s="29"/>
      <c r="LO37" s="29"/>
      <c r="LP37" s="29"/>
      <c r="LQ37" s="29"/>
      <c r="LR37" s="29"/>
      <c r="LS37" s="29"/>
      <c r="LT37" s="29"/>
      <c r="LU37" s="29"/>
      <c r="LV37" s="29"/>
      <c r="LW37" s="29"/>
      <c r="LX37" s="29"/>
      <c r="LY37" s="29"/>
      <c r="LZ37" s="29"/>
      <c r="MA37" s="29"/>
      <c r="MB37" s="29"/>
      <c r="MC37" s="29"/>
      <c r="MD37" s="29"/>
      <c r="ME37" s="29"/>
      <c r="MF37" s="29"/>
      <c r="MG37" s="29"/>
      <c r="MH37" s="29"/>
      <c r="MI37" s="29"/>
      <c r="MJ37" s="29"/>
      <c r="MK37" s="29"/>
      <c r="ML37" s="29"/>
      <c r="MM37" s="29"/>
      <c r="MN37" s="29"/>
      <c r="MO37" s="29"/>
      <c r="MP37" s="29"/>
      <c r="MQ37" s="29"/>
      <c r="MR37" s="29"/>
      <c r="MS37" s="29"/>
      <c r="MT37" s="29"/>
      <c r="MU37" s="29"/>
      <c r="MV37" s="29"/>
      <c r="MW37" s="29"/>
      <c r="MX37" s="29"/>
      <c r="MY37" s="29"/>
      <c r="MZ37" s="29"/>
      <c r="NA37" s="29"/>
      <c r="NB37" s="29"/>
      <c r="NC37" s="29"/>
      <c r="ND37" s="29"/>
      <c r="NE37" s="29"/>
      <c r="NF37" s="29"/>
    </row>
    <row r="38" spans="1:370" s="29" customFormat="1" ht="12" customHeight="1">
      <c r="A38" s="41" t="s">
        <v>62</v>
      </c>
      <c r="B38" s="28">
        <f>'Paste here'!B149</f>
        <v>0</v>
      </c>
      <c r="C38" s="26"/>
      <c r="D38" s="27">
        <f>(G38-50)/10</f>
        <v>-3</v>
      </c>
      <c r="E38" s="71">
        <f>'Paste here'!E149</f>
        <v>0</v>
      </c>
      <c r="F38"/>
      <c r="G38" s="97">
        <f>IF('Paste here'!D149&lt;20,20,'Paste here'!D149)</f>
        <v>20</v>
      </c>
      <c r="H38" s="63">
        <f>G38-50</f>
        <v>-30</v>
      </c>
      <c r="I38" s="60">
        <v>50</v>
      </c>
      <c r="J38" s="48">
        <v>40</v>
      </c>
      <c r="K38" s="48">
        <v>30</v>
      </c>
      <c r="L38" s="48">
        <v>60</v>
      </c>
      <c r="M38" s="61">
        <v>70</v>
      </c>
      <c r="N38" s="66">
        <v>24.5</v>
      </c>
      <c r="O3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</row>
    <row r="39" spans="1:370" ht="12" customHeight="1">
      <c r="A39" s="10"/>
      <c r="D39" s="11"/>
      <c r="E39" s="24"/>
      <c r="G39" s="63"/>
      <c r="H39" s="63"/>
      <c r="I39" s="60">
        <v>50</v>
      </c>
      <c r="J39" s="48">
        <v>40</v>
      </c>
      <c r="K39" s="48">
        <v>30</v>
      </c>
      <c r="L39" s="48">
        <v>60</v>
      </c>
      <c r="M39" s="61">
        <v>70</v>
      </c>
      <c r="N39" s="66">
        <v>23.5</v>
      </c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  <c r="IS39" s="29"/>
      <c r="IT39" s="29"/>
      <c r="IU39" s="29"/>
      <c r="IV39" s="29"/>
      <c r="IW39" s="29"/>
      <c r="IX39" s="29"/>
      <c r="IY39" s="29"/>
      <c r="IZ39" s="29"/>
      <c r="JA39" s="29"/>
      <c r="JB39" s="29"/>
      <c r="JC39" s="29"/>
      <c r="JD39" s="29"/>
      <c r="JE39" s="29"/>
      <c r="JF39" s="29"/>
      <c r="JG39" s="29"/>
      <c r="JH39" s="29"/>
      <c r="JI39" s="29"/>
      <c r="JJ39" s="29"/>
      <c r="JK39" s="29"/>
      <c r="JL39" s="29"/>
      <c r="JM39" s="29"/>
      <c r="JN39" s="29"/>
      <c r="JO39" s="29"/>
      <c r="JP39" s="29"/>
      <c r="JQ39" s="29"/>
      <c r="JR39" s="29"/>
      <c r="JS39" s="29"/>
      <c r="JT39" s="29"/>
      <c r="JU39" s="29"/>
      <c r="JV39" s="29"/>
      <c r="JW39" s="29"/>
      <c r="JX39" s="29"/>
      <c r="JY39" s="29"/>
      <c r="JZ39" s="29"/>
      <c r="KA39" s="29"/>
      <c r="KB39" s="29"/>
      <c r="KC39" s="29"/>
      <c r="KD39" s="29"/>
      <c r="KE39" s="29"/>
      <c r="KF39" s="29"/>
      <c r="KG39" s="29"/>
      <c r="KH39" s="29"/>
      <c r="KI39" s="29"/>
      <c r="KJ39" s="29"/>
      <c r="KK39" s="29"/>
      <c r="KL39" s="29"/>
      <c r="KM39" s="29"/>
      <c r="KN39" s="29"/>
      <c r="KO39" s="29"/>
      <c r="KP39" s="29"/>
      <c r="KQ39" s="29"/>
      <c r="KR39" s="29"/>
      <c r="KS39" s="29"/>
      <c r="KT39" s="29"/>
      <c r="KU39" s="29"/>
      <c r="KV39" s="29"/>
      <c r="KW39" s="29"/>
      <c r="KX39" s="29"/>
      <c r="KY39" s="29"/>
      <c r="KZ39" s="29"/>
      <c r="LA39" s="29"/>
      <c r="LB39" s="29"/>
      <c r="LC39" s="29"/>
      <c r="LD39" s="29"/>
      <c r="LE39" s="29"/>
      <c r="LF39" s="29"/>
      <c r="LG39" s="29"/>
      <c r="LH39" s="29"/>
      <c r="LI39" s="29"/>
      <c r="LJ39" s="29"/>
      <c r="LK39" s="29"/>
      <c r="LL39" s="29"/>
      <c r="LM39" s="29"/>
      <c r="LN39" s="29"/>
      <c r="LO39" s="29"/>
      <c r="LP39" s="29"/>
      <c r="LQ39" s="29"/>
      <c r="LR39" s="29"/>
      <c r="LS39" s="29"/>
      <c r="LT39" s="29"/>
      <c r="LU39" s="29"/>
      <c r="LV39" s="29"/>
      <c r="LW39" s="29"/>
      <c r="LX39" s="29"/>
      <c r="LY39" s="29"/>
      <c r="LZ39" s="29"/>
      <c r="MA39" s="29"/>
      <c r="MB39" s="29"/>
      <c r="MC39" s="29"/>
      <c r="MD39" s="29"/>
      <c r="ME39" s="29"/>
      <c r="MF39" s="29"/>
      <c r="MG39" s="29"/>
      <c r="MH39" s="29"/>
      <c r="MI39" s="29"/>
      <c r="MJ39" s="29"/>
      <c r="MK39" s="29"/>
      <c r="ML39" s="29"/>
      <c r="MM39" s="29"/>
      <c r="MN39" s="29"/>
      <c r="MO39" s="29"/>
      <c r="MP39" s="29"/>
      <c r="MQ39" s="29"/>
      <c r="MR39" s="29"/>
      <c r="MS39" s="29"/>
      <c r="MT39" s="29"/>
      <c r="MU39" s="29"/>
      <c r="MV39" s="29"/>
      <c r="MW39" s="29"/>
      <c r="MX39" s="29"/>
      <c r="MY39" s="29"/>
      <c r="MZ39" s="29"/>
      <c r="NA39" s="29"/>
      <c r="NB39" s="29"/>
      <c r="NC39" s="29"/>
      <c r="ND39" s="29"/>
      <c r="NE39" s="29"/>
      <c r="NF39" s="29"/>
    </row>
    <row r="40" spans="1:370" ht="12" customHeight="1">
      <c r="A40" s="14" t="s">
        <v>30</v>
      </c>
      <c r="D40" s="11"/>
      <c r="E40" s="24"/>
      <c r="G40" s="63"/>
      <c r="H40" s="63"/>
      <c r="I40" s="60">
        <v>50</v>
      </c>
      <c r="J40" s="48">
        <v>40</v>
      </c>
      <c r="K40" s="48">
        <v>30</v>
      </c>
      <c r="L40" s="48">
        <v>60</v>
      </c>
      <c r="M40" s="61">
        <v>70</v>
      </c>
      <c r="N40" s="66">
        <v>22.5</v>
      </c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  <c r="IS40" s="29"/>
      <c r="IT40" s="29"/>
      <c r="IU40" s="29"/>
      <c r="IV40" s="29"/>
      <c r="IW40" s="29"/>
      <c r="IX40" s="29"/>
      <c r="IY40" s="29"/>
      <c r="IZ40" s="29"/>
      <c r="JA40" s="29"/>
      <c r="JB40" s="29"/>
      <c r="JC40" s="29"/>
      <c r="JD40" s="29"/>
      <c r="JE40" s="29"/>
      <c r="JF40" s="29"/>
      <c r="JG40" s="29"/>
      <c r="JH40" s="29"/>
      <c r="JI40" s="29"/>
      <c r="JJ40" s="29"/>
      <c r="JK40" s="29"/>
      <c r="JL40" s="29"/>
      <c r="JM40" s="29"/>
      <c r="JN40" s="29"/>
      <c r="JO40" s="29"/>
      <c r="JP40" s="29"/>
      <c r="JQ40" s="29"/>
      <c r="JR40" s="29"/>
      <c r="JS40" s="29"/>
      <c r="JT40" s="29"/>
      <c r="JU40" s="29"/>
      <c r="JV40" s="29"/>
      <c r="JW40" s="29"/>
      <c r="JX40" s="29"/>
      <c r="JY40" s="29"/>
      <c r="JZ40" s="29"/>
      <c r="KA40" s="29"/>
      <c r="KB40" s="29"/>
      <c r="KC40" s="29"/>
      <c r="KD40" s="29"/>
      <c r="KE40" s="29"/>
      <c r="KF40" s="29"/>
      <c r="KG40" s="29"/>
      <c r="KH40" s="29"/>
      <c r="KI40" s="29"/>
      <c r="KJ40" s="29"/>
      <c r="KK40" s="29"/>
      <c r="KL40" s="29"/>
      <c r="KM40" s="29"/>
      <c r="KN40" s="29"/>
      <c r="KO40" s="29"/>
      <c r="KP40" s="29"/>
      <c r="KQ40" s="29"/>
      <c r="KR40" s="29"/>
      <c r="KS40" s="29"/>
      <c r="KT40" s="29"/>
      <c r="KU40" s="29"/>
      <c r="KV40" s="29"/>
      <c r="KW40" s="29"/>
      <c r="KX40" s="29"/>
      <c r="KY40" s="29"/>
      <c r="KZ40" s="29"/>
      <c r="LA40" s="29"/>
      <c r="LB40" s="29"/>
      <c r="LC40" s="29"/>
      <c r="LD40" s="29"/>
      <c r="LE40" s="29"/>
      <c r="LF40" s="29"/>
      <c r="LG40" s="29"/>
      <c r="LH40" s="29"/>
      <c r="LI40" s="29"/>
      <c r="LJ40" s="29"/>
      <c r="LK40" s="29"/>
      <c r="LL40" s="29"/>
      <c r="LM40" s="29"/>
      <c r="LN40" s="29"/>
      <c r="LO40" s="29"/>
      <c r="LP40" s="29"/>
      <c r="LQ40" s="29"/>
      <c r="LR40" s="29"/>
      <c r="LS40" s="29"/>
      <c r="LT40" s="29"/>
      <c r="LU40" s="29"/>
      <c r="LV40" s="29"/>
      <c r="LW40" s="29"/>
      <c r="LX40" s="29"/>
      <c r="LY40" s="29"/>
      <c r="LZ40" s="29"/>
      <c r="MA40" s="29"/>
      <c r="MB40" s="29"/>
      <c r="MC40" s="29"/>
      <c r="MD40" s="29"/>
      <c r="ME40" s="29"/>
      <c r="MF40" s="29"/>
      <c r="MG40" s="29"/>
      <c r="MH40" s="29"/>
      <c r="MI40" s="29"/>
      <c r="MJ40" s="29"/>
      <c r="MK40" s="29"/>
      <c r="ML40" s="29"/>
      <c r="MM40" s="29"/>
      <c r="MN40" s="29"/>
      <c r="MO40" s="29"/>
      <c r="MP40" s="29"/>
      <c r="MQ40" s="29"/>
      <c r="MR40" s="29"/>
      <c r="MS40" s="29"/>
      <c r="MT40" s="29"/>
      <c r="MU40" s="29"/>
      <c r="MV40" s="29"/>
      <c r="MW40" s="29"/>
      <c r="MX40" s="29"/>
      <c r="MY40" s="29"/>
      <c r="MZ40" s="29"/>
      <c r="NA40" s="29"/>
      <c r="NB40" s="29"/>
      <c r="NC40" s="29"/>
      <c r="ND40" s="29"/>
      <c r="NE40" s="29"/>
      <c r="NF40" s="29"/>
    </row>
    <row r="41" spans="1:370" s="22" customFormat="1" ht="12" customHeight="1">
      <c r="A41" s="7" t="s">
        <v>31</v>
      </c>
      <c r="B41" s="21">
        <f>'Paste here'!B164</f>
        <v>0</v>
      </c>
      <c r="C41" s="8"/>
      <c r="D41" s="9">
        <f>(G41-50)/10</f>
        <v>-3</v>
      </c>
      <c r="E41" s="23">
        <f>'Paste here'!E164</f>
        <v>0</v>
      </c>
      <c r="F41"/>
      <c r="G41" s="97">
        <f>IF('Paste here'!D164&lt;20,20,'Paste here'!D164)</f>
        <v>20</v>
      </c>
      <c r="H41" s="63">
        <f>G41-50</f>
        <v>-30</v>
      </c>
      <c r="I41" s="60">
        <v>50</v>
      </c>
      <c r="J41" s="48">
        <v>40</v>
      </c>
      <c r="K41" s="48">
        <v>30</v>
      </c>
      <c r="L41" s="48">
        <v>60</v>
      </c>
      <c r="M41" s="61">
        <v>70</v>
      </c>
      <c r="N41" s="66">
        <v>21.5</v>
      </c>
      <c r="O41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  <c r="IS41" s="29"/>
      <c r="IT41" s="29"/>
      <c r="IU41" s="29"/>
      <c r="IV41" s="29"/>
      <c r="IW41" s="29"/>
      <c r="IX41" s="29"/>
      <c r="IY41" s="29"/>
      <c r="IZ41" s="29"/>
      <c r="JA41" s="29"/>
      <c r="JB41" s="29"/>
      <c r="JC41" s="29"/>
      <c r="JD41" s="29"/>
      <c r="JE41" s="29"/>
      <c r="JF41" s="29"/>
      <c r="JG41" s="29"/>
      <c r="JH41" s="29"/>
      <c r="JI41" s="29"/>
      <c r="JJ41" s="29"/>
      <c r="JK41" s="29"/>
      <c r="JL41" s="29"/>
      <c r="JM41" s="29"/>
      <c r="JN41" s="29"/>
      <c r="JO41" s="29"/>
      <c r="JP41" s="29"/>
      <c r="JQ41" s="29"/>
      <c r="JR41" s="29"/>
      <c r="JS41" s="29"/>
      <c r="JT41" s="29"/>
      <c r="JU41" s="29"/>
      <c r="JV41" s="29"/>
      <c r="JW41" s="29"/>
      <c r="JX41" s="29"/>
      <c r="JY41" s="29"/>
      <c r="JZ41" s="29"/>
      <c r="KA41" s="29"/>
      <c r="KB41" s="29"/>
      <c r="KC41" s="29"/>
      <c r="KD41" s="29"/>
      <c r="KE41" s="29"/>
      <c r="KF41" s="29"/>
      <c r="KG41" s="29"/>
      <c r="KH41" s="29"/>
      <c r="KI41" s="29"/>
      <c r="KJ41" s="29"/>
      <c r="KK41" s="29"/>
      <c r="KL41" s="29"/>
      <c r="KM41" s="29"/>
      <c r="KN41" s="29"/>
      <c r="KO41" s="29"/>
      <c r="KP41" s="29"/>
      <c r="KQ41" s="29"/>
      <c r="KR41" s="29"/>
      <c r="KS41" s="29"/>
      <c r="KT41" s="29"/>
      <c r="KU41" s="29"/>
      <c r="KV41" s="29"/>
      <c r="KW41" s="29"/>
      <c r="KX41" s="29"/>
      <c r="KY41" s="29"/>
      <c r="KZ41" s="29"/>
      <c r="LA41" s="29"/>
      <c r="LB41" s="29"/>
      <c r="LC41" s="29"/>
      <c r="LD41" s="29"/>
      <c r="LE41" s="29"/>
      <c r="LF41" s="29"/>
      <c r="LG41" s="29"/>
      <c r="LH41" s="29"/>
      <c r="LI41" s="29"/>
      <c r="LJ41" s="29"/>
      <c r="LK41" s="29"/>
      <c r="LL41" s="29"/>
      <c r="LM41" s="29"/>
      <c r="LN41" s="29"/>
      <c r="LO41" s="29"/>
      <c r="LP41" s="29"/>
      <c r="LQ41" s="29"/>
      <c r="LR41" s="29"/>
      <c r="LS41" s="29"/>
      <c r="LT41" s="29"/>
      <c r="LU41" s="29"/>
      <c r="LV41" s="29"/>
      <c r="LW41" s="29"/>
      <c r="LX41" s="29"/>
      <c r="LY41" s="29"/>
      <c r="LZ41" s="29"/>
      <c r="MA41" s="29"/>
      <c r="MB41" s="29"/>
      <c r="MC41" s="29"/>
      <c r="MD41" s="29"/>
      <c r="ME41" s="29"/>
      <c r="MF41" s="29"/>
      <c r="MG41" s="29"/>
      <c r="MH41" s="29"/>
      <c r="MI41" s="29"/>
      <c r="MJ41" s="29"/>
      <c r="MK41" s="29"/>
      <c r="ML41" s="29"/>
      <c r="MM41" s="29"/>
      <c r="MN41" s="29"/>
      <c r="MO41" s="29"/>
      <c r="MP41" s="29"/>
      <c r="MQ41" s="29"/>
      <c r="MR41" s="29"/>
      <c r="MS41" s="29"/>
      <c r="MT41" s="29"/>
      <c r="MU41" s="29"/>
      <c r="MV41" s="29"/>
      <c r="MW41" s="29"/>
      <c r="MX41" s="29"/>
      <c r="MY41" s="29"/>
      <c r="MZ41" s="29"/>
      <c r="NA41" s="29"/>
      <c r="NB41" s="29"/>
      <c r="NC41" s="29"/>
      <c r="ND41" s="29"/>
      <c r="NE41" s="29"/>
      <c r="NF41" s="29"/>
    </row>
    <row r="42" spans="1:370" s="29" customFormat="1" ht="12" customHeight="1">
      <c r="A42" s="25" t="s">
        <v>32</v>
      </c>
      <c r="B42" s="28">
        <f>'Paste here'!B162</f>
        <v>0</v>
      </c>
      <c r="C42" s="26"/>
      <c r="D42" s="27">
        <f>(G42-50)/10</f>
        <v>-3</v>
      </c>
      <c r="E42" s="71">
        <f>'Paste here'!E162</f>
        <v>0</v>
      </c>
      <c r="F42"/>
      <c r="G42" s="97">
        <f>IF('Paste here'!D162&lt;20,20,'Paste here'!D162)</f>
        <v>20</v>
      </c>
      <c r="H42" s="63">
        <f>G42-50</f>
        <v>-30</v>
      </c>
      <c r="I42" s="60">
        <v>50</v>
      </c>
      <c r="J42" s="48">
        <v>40</v>
      </c>
      <c r="K42" s="48">
        <v>30</v>
      </c>
      <c r="L42" s="48">
        <v>60</v>
      </c>
      <c r="M42" s="61">
        <v>70</v>
      </c>
      <c r="N42" s="66">
        <v>20.5</v>
      </c>
      <c r="O42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</row>
    <row r="43" spans="1:370" s="22" customFormat="1" ht="12" customHeight="1">
      <c r="A43" s="12" t="s">
        <v>33</v>
      </c>
      <c r="B43" s="21">
        <f>'Paste here'!B163</f>
        <v>0</v>
      </c>
      <c r="C43" s="8"/>
      <c r="D43" s="9">
        <f>(G43-50)/10</f>
        <v>-3</v>
      </c>
      <c r="E43" s="23">
        <f>'Paste here'!E163</f>
        <v>0</v>
      </c>
      <c r="F43"/>
      <c r="G43" s="97">
        <f>IF('Paste here'!D163&lt;20,20,'Paste here'!D163)</f>
        <v>20</v>
      </c>
      <c r="H43" s="63">
        <f>G43-50</f>
        <v>-30</v>
      </c>
      <c r="I43" s="60">
        <v>50</v>
      </c>
      <c r="J43" s="48">
        <v>40</v>
      </c>
      <c r="K43" s="48">
        <v>30</v>
      </c>
      <c r="L43" s="48">
        <v>60</v>
      </c>
      <c r="M43" s="61">
        <v>70</v>
      </c>
      <c r="N43" s="66">
        <v>19.5</v>
      </c>
      <c r="O43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  <c r="IS43" s="29"/>
      <c r="IT43" s="29"/>
      <c r="IU43" s="29"/>
      <c r="IV43" s="29"/>
      <c r="IW43" s="29"/>
      <c r="IX43" s="29"/>
      <c r="IY43" s="29"/>
      <c r="IZ43" s="29"/>
      <c r="JA43" s="29"/>
      <c r="JB43" s="29"/>
      <c r="JC43" s="29"/>
      <c r="JD43" s="29"/>
      <c r="JE43" s="29"/>
      <c r="JF43" s="29"/>
      <c r="JG43" s="29"/>
      <c r="JH43" s="29"/>
      <c r="JI43" s="29"/>
      <c r="JJ43" s="29"/>
      <c r="JK43" s="29"/>
      <c r="JL43" s="29"/>
      <c r="JM43" s="29"/>
      <c r="JN43" s="29"/>
      <c r="JO43" s="29"/>
      <c r="JP43" s="29"/>
      <c r="JQ43" s="29"/>
      <c r="JR43" s="29"/>
      <c r="JS43" s="29"/>
      <c r="JT43" s="29"/>
      <c r="JU43" s="29"/>
      <c r="JV43" s="29"/>
      <c r="JW43" s="29"/>
      <c r="JX43" s="29"/>
      <c r="JY43" s="29"/>
      <c r="JZ43" s="29"/>
      <c r="KA43" s="29"/>
      <c r="KB43" s="29"/>
      <c r="KC43" s="29"/>
      <c r="KD43" s="29"/>
      <c r="KE43" s="29"/>
      <c r="KF43" s="29"/>
      <c r="KG43" s="29"/>
      <c r="KH43" s="29"/>
      <c r="KI43" s="29"/>
      <c r="KJ43" s="29"/>
      <c r="KK43" s="29"/>
      <c r="KL43" s="29"/>
      <c r="KM43" s="29"/>
      <c r="KN43" s="29"/>
      <c r="KO43" s="29"/>
      <c r="KP43" s="29"/>
      <c r="KQ43" s="29"/>
      <c r="KR43" s="29"/>
      <c r="KS43" s="29"/>
      <c r="KT43" s="29"/>
      <c r="KU43" s="29"/>
      <c r="KV43" s="29"/>
      <c r="KW43" s="29"/>
      <c r="KX43" s="29"/>
      <c r="KY43" s="29"/>
      <c r="KZ43" s="29"/>
      <c r="LA43" s="29"/>
      <c r="LB43" s="29"/>
      <c r="LC43" s="29"/>
      <c r="LD43" s="29"/>
      <c r="LE43" s="29"/>
      <c r="LF43" s="29"/>
      <c r="LG43" s="29"/>
      <c r="LH43" s="29"/>
      <c r="LI43" s="29"/>
      <c r="LJ43" s="29"/>
      <c r="LK43" s="29"/>
      <c r="LL43" s="29"/>
      <c r="LM43" s="29"/>
      <c r="LN43" s="29"/>
      <c r="LO43" s="29"/>
      <c r="LP43" s="29"/>
      <c r="LQ43" s="29"/>
      <c r="LR43" s="29"/>
      <c r="LS43" s="29"/>
      <c r="LT43" s="29"/>
      <c r="LU43" s="29"/>
      <c r="LV43" s="29"/>
      <c r="LW43" s="29"/>
      <c r="LX43" s="29"/>
      <c r="LY43" s="29"/>
      <c r="LZ43" s="29"/>
      <c r="MA43" s="29"/>
      <c r="MB43" s="29"/>
      <c r="MC43" s="29"/>
      <c r="MD43" s="29"/>
      <c r="ME43" s="29"/>
      <c r="MF43" s="29"/>
      <c r="MG43" s="29"/>
      <c r="MH43" s="29"/>
      <c r="MI43" s="29"/>
      <c r="MJ43" s="29"/>
      <c r="MK43" s="29"/>
      <c r="ML43" s="29"/>
      <c r="MM43" s="29"/>
      <c r="MN43" s="29"/>
      <c r="MO43" s="29"/>
      <c r="MP43" s="29"/>
      <c r="MQ43" s="29"/>
      <c r="MR43" s="29"/>
      <c r="MS43" s="29"/>
      <c r="MT43" s="29"/>
      <c r="MU43" s="29"/>
      <c r="MV43" s="29"/>
      <c r="MW43" s="29"/>
      <c r="MX43" s="29"/>
      <c r="MY43" s="29"/>
      <c r="MZ43" s="29"/>
      <c r="NA43" s="29"/>
      <c r="NB43" s="29"/>
      <c r="NC43" s="29"/>
      <c r="ND43" s="29"/>
      <c r="NE43" s="29"/>
      <c r="NF43" s="29"/>
    </row>
    <row r="44" spans="1:370" ht="12" customHeight="1">
      <c r="A44" s="10" t="s">
        <v>34</v>
      </c>
      <c r="B44" s="1">
        <f>'Paste here'!P19</f>
        <v>0</v>
      </c>
      <c r="D44" s="11"/>
      <c r="E44" s="70" t="s">
        <v>57</v>
      </c>
      <c r="G44" s="63"/>
      <c r="H44" s="63"/>
      <c r="I44" s="60">
        <v>50</v>
      </c>
      <c r="J44" s="48">
        <v>40</v>
      </c>
      <c r="K44" s="48">
        <v>30</v>
      </c>
      <c r="L44" s="48">
        <v>60</v>
      </c>
      <c r="M44" s="61">
        <v>70</v>
      </c>
      <c r="N44" s="66">
        <v>18.5</v>
      </c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  <c r="IS44" s="29"/>
      <c r="IT44" s="29"/>
      <c r="IU44" s="29"/>
      <c r="IV44" s="29"/>
      <c r="IW44" s="29"/>
      <c r="IX44" s="29"/>
      <c r="IY44" s="29"/>
      <c r="IZ44" s="29"/>
      <c r="JA44" s="29"/>
      <c r="JB44" s="29"/>
      <c r="JC44" s="29"/>
      <c r="JD44" s="29"/>
      <c r="JE44" s="29"/>
      <c r="JF44" s="29"/>
      <c r="JG44" s="29"/>
      <c r="JH44" s="29"/>
      <c r="JI44" s="29"/>
      <c r="JJ44" s="29"/>
      <c r="JK44" s="29"/>
      <c r="JL44" s="29"/>
      <c r="JM44" s="29"/>
      <c r="JN44" s="29"/>
      <c r="JO44" s="29"/>
      <c r="JP44" s="29"/>
      <c r="JQ44" s="29"/>
      <c r="JR44" s="29"/>
      <c r="JS44" s="29"/>
      <c r="JT44" s="29"/>
      <c r="JU44" s="29"/>
      <c r="JV44" s="29"/>
      <c r="JW44" s="29"/>
      <c r="JX44" s="29"/>
      <c r="JY44" s="29"/>
      <c r="JZ44" s="29"/>
      <c r="KA44" s="29"/>
      <c r="KB44" s="29"/>
      <c r="KC44" s="29"/>
      <c r="KD44" s="29"/>
      <c r="KE44" s="29"/>
      <c r="KF44" s="29"/>
      <c r="KG44" s="29"/>
      <c r="KH44" s="29"/>
      <c r="KI44" s="29"/>
      <c r="KJ44" s="29"/>
      <c r="KK44" s="29"/>
      <c r="KL44" s="29"/>
      <c r="KM44" s="29"/>
      <c r="KN44" s="29"/>
      <c r="KO44" s="29"/>
      <c r="KP44" s="29"/>
      <c r="KQ44" s="29"/>
      <c r="KR44" s="29"/>
      <c r="KS44" s="29"/>
      <c r="KT44" s="29"/>
      <c r="KU44" s="29"/>
      <c r="KV44" s="29"/>
      <c r="KW44" s="29"/>
      <c r="KX44" s="29"/>
      <c r="KY44" s="29"/>
      <c r="KZ44" s="29"/>
      <c r="LA44" s="29"/>
      <c r="LB44" s="29"/>
      <c r="LC44" s="29"/>
      <c r="LD44" s="29"/>
      <c r="LE44" s="29"/>
      <c r="LF44" s="29"/>
      <c r="LG44" s="29"/>
      <c r="LH44" s="29"/>
      <c r="LI44" s="29"/>
      <c r="LJ44" s="29"/>
      <c r="LK44" s="29"/>
      <c r="LL44" s="29"/>
      <c r="LM44" s="29"/>
      <c r="LN44" s="29"/>
      <c r="LO44" s="29"/>
      <c r="LP44" s="29"/>
      <c r="LQ44" s="29"/>
      <c r="LR44" s="29"/>
      <c r="LS44" s="29"/>
      <c r="LT44" s="29"/>
      <c r="LU44" s="29"/>
      <c r="LV44" s="29"/>
      <c r="LW44" s="29"/>
      <c r="LX44" s="29"/>
      <c r="LY44" s="29"/>
      <c r="LZ44" s="29"/>
      <c r="MA44" s="29"/>
      <c r="MB44" s="29"/>
      <c r="MC44" s="29"/>
      <c r="MD44" s="29"/>
      <c r="ME44" s="29"/>
      <c r="MF44" s="29"/>
      <c r="MG44" s="29"/>
      <c r="MH44" s="29"/>
      <c r="MI44" s="29"/>
      <c r="MJ44" s="29"/>
      <c r="MK44" s="29"/>
      <c r="ML44" s="29"/>
      <c r="MM44" s="29"/>
      <c r="MN44" s="29"/>
      <c r="MO44" s="29"/>
      <c r="MP44" s="29"/>
      <c r="MQ44" s="29"/>
      <c r="MR44" s="29"/>
      <c r="MS44" s="29"/>
      <c r="MT44" s="29"/>
      <c r="MU44" s="29"/>
      <c r="MV44" s="29"/>
      <c r="MW44" s="29"/>
      <c r="MX44" s="29"/>
      <c r="MY44" s="29"/>
      <c r="MZ44" s="29"/>
      <c r="NA44" s="29"/>
      <c r="NB44" s="29"/>
      <c r="NC44" s="29"/>
      <c r="ND44" s="29"/>
      <c r="NE44" s="29"/>
      <c r="NF44" s="29"/>
    </row>
    <row r="45" spans="1:370" s="22" customFormat="1" ht="12" customHeight="1">
      <c r="A45" s="7" t="s">
        <v>35</v>
      </c>
      <c r="B45" s="58">
        <f>'Paste here'!P20</f>
        <v>0</v>
      </c>
      <c r="C45" s="8"/>
      <c r="D45" s="9"/>
      <c r="E45" s="69" t="s">
        <v>57</v>
      </c>
      <c r="F45"/>
      <c r="G45" s="63"/>
      <c r="H45" s="63"/>
      <c r="I45" s="60">
        <v>50</v>
      </c>
      <c r="J45" s="48">
        <v>40</v>
      </c>
      <c r="K45" s="48">
        <v>30</v>
      </c>
      <c r="L45" s="48">
        <v>60</v>
      </c>
      <c r="M45" s="61">
        <v>70</v>
      </c>
      <c r="N45" s="66">
        <v>17.5</v>
      </c>
      <c r="O45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29"/>
      <c r="ER45" s="2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29"/>
      <c r="FL45" s="2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29"/>
      <c r="GF45" s="2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29"/>
      <c r="GZ45" s="29"/>
      <c r="HA45" s="29"/>
      <c r="HB45" s="29"/>
      <c r="HC45" s="29"/>
      <c r="HD45" s="29"/>
      <c r="HE45" s="29"/>
      <c r="HF45" s="29"/>
      <c r="HG45" s="29"/>
      <c r="HH45" s="29"/>
      <c r="HI45" s="29"/>
      <c r="HJ45" s="29"/>
      <c r="HK45" s="29"/>
      <c r="HL45" s="29"/>
      <c r="HM45" s="29"/>
      <c r="HN45" s="29"/>
      <c r="HO45" s="29"/>
      <c r="HP45" s="29"/>
      <c r="HQ45" s="29"/>
      <c r="HR45" s="29"/>
      <c r="HS45" s="29"/>
      <c r="HT45" s="29"/>
      <c r="HU45" s="29"/>
      <c r="HV45" s="29"/>
      <c r="HW45" s="29"/>
      <c r="HX45" s="29"/>
      <c r="HY45" s="29"/>
      <c r="HZ45" s="29"/>
      <c r="IA45" s="29"/>
      <c r="IB45" s="29"/>
      <c r="IC45" s="29"/>
      <c r="ID45" s="29"/>
      <c r="IE45" s="29"/>
      <c r="IF45" s="29"/>
      <c r="IG45" s="29"/>
      <c r="IH45" s="29"/>
      <c r="II45" s="29"/>
      <c r="IJ45" s="29"/>
      <c r="IK45" s="29"/>
      <c r="IL45" s="29"/>
      <c r="IM45" s="29"/>
      <c r="IN45" s="29"/>
      <c r="IO45" s="29"/>
      <c r="IP45" s="29"/>
      <c r="IQ45" s="29"/>
      <c r="IR45" s="29"/>
      <c r="IS45" s="29"/>
      <c r="IT45" s="29"/>
      <c r="IU45" s="29"/>
      <c r="IV45" s="29"/>
      <c r="IW45" s="29"/>
      <c r="IX45" s="29"/>
      <c r="IY45" s="29"/>
      <c r="IZ45" s="29"/>
      <c r="JA45" s="29"/>
      <c r="JB45" s="29"/>
      <c r="JC45" s="29"/>
      <c r="JD45" s="29"/>
      <c r="JE45" s="29"/>
      <c r="JF45" s="29"/>
      <c r="JG45" s="29"/>
      <c r="JH45" s="29"/>
      <c r="JI45" s="29"/>
      <c r="JJ45" s="29"/>
      <c r="JK45" s="29"/>
      <c r="JL45" s="29"/>
      <c r="JM45" s="29"/>
      <c r="JN45" s="29"/>
      <c r="JO45" s="29"/>
      <c r="JP45" s="29"/>
      <c r="JQ45" s="29"/>
      <c r="JR45" s="29"/>
      <c r="JS45" s="29"/>
      <c r="JT45" s="29"/>
      <c r="JU45" s="29"/>
      <c r="JV45" s="29"/>
      <c r="JW45" s="29"/>
      <c r="JX45" s="29"/>
      <c r="JY45" s="29"/>
      <c r="JZ45" s="29"/>
      <c r="KA45" s="29"/>
      <c r="KB45" s="29"/>
      <c r="KC45" s="29"/>
      <c r="KD45" s="29"/>
      <c r="KE45" s="29"/>
      <c r="KF45" s="29"/>
      <c r="KG45" s="29"/>
      <c r="KH45" s="29"/>
      <c r="KI45" s="29"/>
      <c r="KJ45" s="29"/>
      <c r="KK45" s="29"/>
      <c r="KL45" s="29"/>
      <c r="KM45" s="29"/>
      <c r="KN45" s="29"/>
      <c r="KO45" s="29"/>
      <c r="KP45" s="29"/>
      <c r="KQ45" s="29"/>
      <c r="KR45" s="29"/>
      <c r="KS45" s="29"/>
      <c r="KT45" s="29"/>
      <c r="KU45" s="29"/>
      <c r="KV45" s="29"/>
      <c r="KW45" s="29"/>
      <c r="KX45" s="29"/>
      <c r="KY45" s="29"/>
      <c r="KZ45" s="29"/>
      <c r="LA45" s="29"/>
      <c r="LB45" s="29"/>
      <c r="LC45" s="29"/>
      <c r="LD45" s="29"/>
      <c r="LE45" s="29"/>
      <c r="LF45" s="29"/>
      <c r="LG45" s="29"/>
      <c r="LH45" s="29"/>
      <c r="LI45" s="29"/>
      <c r="LJ45" s="29"/>
      <c r="LK45" s="29"/>
      <c r="LL45" s="29"/>
      <c r="LM45" s="29"/>
      <c r="LN45" s="29"/>
      <c r="LO45" s="29"/>
      <c r="LP45" s="29"/>
      <c r="LQ45" s="29"/>
      <c r="LR45" s="29"/>
      <c r="LS45" s="29"/>
      <c r="LT45" s="29"/>
      <c r="LU45" s="29"/>
      <c r="LV45" s="29"/>
      <c r="LW45" s="29"/>
      <c r="LX45" s="29"/>
      <c r="LY45" s="29"/>
      <c r="LZ45" s="29"/>
      <c r="MA45" s="29"/>
      <c r="MB45" s="29"/>
      <c r="MC45" s="29"/>
      <c r="MD45" s="29"/>
      <c r="ME45" s="29"/>
      <c r="MF45" s="29"/>
      <c r="MG45" s="29"/>
      <c r="MH45" s="29"/>
      <c r="MI45" s="29"/>
      <c r="MJ45" s="29"/>
      <c r="MK45" s="29"/>
      <c r="ML45" s="29"/>
      <c r="MM45" s="29"/>
      <c r="MN45" s="29"/>
      <c r="MO45" s="29"/>
      <c r="MP45" s="29"/>
      <c r="MQ45" s="29"/>
      <c r="MR45" s="29"/>
      <c r="MS45" s="29"/>
      <c r="MT45" s="29"/>
      <c r="MU45" s="29"/>
      <c r="MV45" s="29"/>
      <c r="MW45" s="29"/>
      <c r="MX45" s="29"/>
      <c r="MY45" s="29"/>
      <c r="MZ45" s="29"/>
      <c r="NA45" s="29"/>
      <c r="NB45" s="29"/>
      <c r="NC45" s="29"/>
      <c r="ND45" s="29"/>
      <c r="NE45" s="29"/>
      <c r="NF45" s="29"/>
    </row>
    <row r="46" spans="1:370" ht="12" customHeight="1">
      <c r="A46" s="10"/>
      <c r="D46" s="11"/>
      <c r="E46" s="24"/>
      <c r="G46" s="63"/>
      <c r="H46" s="63"/>
      <c r="I46" s="60">
        <v>50</v>
      </c>
      <c r="J46" s="48">
        <v>40</v>
      </c>
      <c r="K46" s="48">
        <v>30</v>
      </c>
      <c r="L46" s="48">
        <v>60</v>
      </c>
      <c r="M46" s="61">
        <v>70</v>
      </c>
      <c r="N46" s="66">
        <v>16.5</v>
      </c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  <c r="IS46" s="29"/>
      <c r="IT46" s="29"/>
      <c r="IU46" s="29"/>
      <c r="IV46" s="29"/>
      <c r="IW46" s="29"/>
      <c r="IX46" s="29"/>
      <c r="IY46" s="29"/>
      <c r="IZ46" s="29"/>
      <c r="JA46" s="29"/>
      <c r="JB46" s="29"/>
      <c r="JC46" s="29"/>
      <c r="JD46" s="29"/>
      <c r="JE46" s="29"/>
      <c r="JF46" s="29"/>
      <c r="JG46" s="29"/>
      <c r="JH46" s="29"/>
      <c r="JI46" s="29"/>
      <c r="JJ46" s="29"/>
      <c r="JK46" s="29"/>
      <c r="JL46" s="29"/>
      <c r="JM46" s="29"/>
      <c r="JN46" s="29"/>
      <c r="JO46" s="29"/>
      <c r="JP46" s="29"/>
      <c r="JQ46" s="29"/>
      <c r="JR46" s="29"/>
      <c r="JS46" s="29"/>
      <c r="JT46" s="29"/>
      <c r="JU46" s="29"/>
      <c r="JV46" s="29"/>
      <c r="JW46" s="29"/>
      <c r="JX46" s="29"/>
      <c r="JY46" s="29"/>
      <c r="JZ46" s="29"/>
      <c r="KA46" s="29"/>
      <c r="KB46" s="29"/>
      <c r="KC46" s="29"/>
      <c r="KD46" s="29"/>
      <c r="KE46" s="29"/>
      <c r="KF46" s="29"/>
      <c r="KG46" s="29"/>
      <c r="KH46" s="29"/>
      <c r="KI46" s="29"/>
      <c r="KJ46" s="29"/>
      <c r="KK46" s="29"/>
      <c r="KL46" s="29"/>
      <c r="KM46" s="29"/>
      <c r="KN46" s="29"/>
      <c r="KO46" s="29"/>
      <c r="KP46" s="29"/>
      <c r="KQ46" s="29"/>
      <c r="KR46" s="29"/>
      <c r="KS46" s="29"/>
      <c r="KT46" s="29"/>
      <c r="KU46" s="29"/>
      <c r="KV46" s="29"/>
      <c r="KW46" s="29"/>
      <c r="KX46" s="29"/>
      <c r="KY46" s="29"/>
      <c r="KZ46" s="29"/>
      <c r="LA46" s="29"/>
      <c r="LB46" s="29"/>
      <c r="LC46" s="29"/>
      <c r="LD46" s="29"/>
      <c r="LE46" s="29"/>
      <c r="LF46" s="29"/>
      <c r="LG46" s="29"/>
      <c r="LH46" s="29"/>
      <c r="LI46" s="29"/>
      <c r="LJ46" s="29"/>
      <c r="LK46" s="29"/>
      <c r="LL46" s="29"/>
      <c r="LM46" s="29"/>
      <c r="LN46" s="29"/>
      <c r="LO46" s="29"/>
      <c r="LP46" s="29"/>
      <c r="LQ46" s="29"/>
      <c r="LR46" s="29"/>
      <c r="LS46" s="29"/>
      <c r="LT46" s="29"/>
      <c r="LU46" s="29"/>
      <c r="LV46" s="29"/>
      <c r="LW46" s="29"/>
      <c r="LX46" s="29"/>
      <c r="LY46" s="29"/>
      <c r="LZ46" s="29"/>
      <c r="MA46" s="29"/>
      <c r="MB46" s="29"/>
      <c r="MC46" s="29"/>
      <c r="MD46" s="29"/>
      <c r="ME46" s="29"/>
      <c r="MF46" s="29"/>
      <c r="MG46" s="29"/>
      <c r="MH46" s="29"/>
      <c r="MI46" s="29"/>
      <c r="MJ46" s="29"/>
      <c r="MK46" s="29"/>
      <c r="ML46" s="29"/>
      <c r="MM46" s="29"/>
      <c r="MN46" s="29"/>
      <c r="MO46" s="29"/>
      <c r="MP46" s="29"/>
      <c r="MQ46" s="29"/>
      <c r="MR46" s="29"/>
      <c r="MS46" s="29"/>
      <c r="MT46" s="29"/>
      <c r="MU46" s="29"/>
      <c r="MV46" s="29"/>
      <c r="MW46" s="29"/>
      <c r="MX46" s="29"/>
      <c r="MY46" s="29"/>
      <c r="MZ46" s="29"/>
      <c r="NA46" s="29"/>
      <c r="NB46" s="29"/>
      <c r="NC46" s="29"/>
      <c r="ND46" s="29"/>
      <c r="NE46" s="29"/>
      <c r="NF46" s="29"/>
    </row>
    <row r="47" spans="1:370" ht="12" customHeight="1">
      <c r="A47" s="14" t="s">
        <v>36</v>
      </c>
      <c r="D47" s="11"/>
      <c r="E47" s="24"/>
      <c r="G47" s="63"/>
      <c r="H47" s="63"/>
      <c r="I47" s="60">
        <v>50</v>
      </c>
      <c r="J47" s="48">
        <v>40</v>
      </c>
      <c r="K47" s="48">
        <v>30</v>
      </c>
      <c r="L47" s="48">
        <v>60</v>
      </c>
      <c r="M47" s="61">
        <v>70</v>
      </c>
      <c r="N47" s="66">
        <v>15.5</v>
      </c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  <c r="IS47" s="29"/>
      <c r="IT47" s="29"/>
      <c r="IU47" s="29"/>
      <c r="IV47" s="29"/>
      <c r="IW47" s="29"/>
      <c r="IX47" s="29"/>
      <c r="IY47" s="29"/>
      <c r="IZ47" s="29"/>
      <c r="JA47" s="29"/>
      <c r="JB47" s="29"/>
      <c r="JC47" s="29"/>
      <c r="JD47" s="29"/>
      <c r="JE47" s="29"/>
      <c r="JF47" s="29"/>
      <c r="JG47" s="29"/>
      <c r="JH47" s="29"/>
      <c r="JI47" s="29"/>
      <c r="JJ47" s="29"/>
      <c r="JK47" s="29"/>
      <c r="JL47" s="29"/>
      <c r="JM47" s="29"/>
      <c r="JN47" s="29"/>
      <c r="JO47" s="29"/>
      <c r="JP47" s="29"/>
      <c r="JQ47" s="29"/>
      <c r="JR47" s="29"/>
      <c r="JS47" s="29"/>
      <c r="JT47" s="29"/>
      <c r="JU47" s="29"/>
      <c r="JV47" s="29"/>
      <c r="JW47" s="29"/>
      <c r="JX47" s="29"/>
      <c r="JY47" s="29"/>
      <c r="JZ47" s="29"/>
      <c r="KA47" s="29"/>
      <c r="KB47" s="29"/>
      <c r="KC47" s="29"/>
      <c r="KD47" s="29"/>
      <c r="KE47" s="29"/>
      <c r="KF47" s="29"/>
      <c r="KG47" s="29"/>
      <c r="KH47" s="29"/>
      <c r="KI47" s="29"/>
      <c r="KJ47" s="29"/>
      <c r="KK47" s="29"/>
      <c r="KL47" s="29"/>
      <c r="KM47" s="29"/>
      <c r="KN47" s="29"/>
      <c r="KO47" s="29"/>
      <c r="KP47" s="29"/>
      <c r="KQ47" s="29"/>
      <c r="KR47" s="29"/>
      <c r="KS47" s="29"/>
      <c r="KT47" s="29"/>
      <c r="KU47" s="29"/>
      <c r="KV47" s="29"/>
      <c r="KW47" s="29"/>
      <c r="KX47" s="29"/>
      <c r="KY47" s="29"/>
      <c r="KZ47" s="29"/>
      <c r="LA47" s="29"/>
      <c r="LB47" s="29"/>
      <c r="LC47" s="29"/>
      <c r="LD47" s="29"/>
      <c r="LE47" s="29"/>
      <c r="LF47" s="29"/>
      <c r="LG47" s="29"/>
      <c r="LH47" s="29"/>
      <c r="LI47" s="29"/>
      <c r="LJ47" s="29"/>
      <c r="LK47" s="29"/>
      <c r="LL47" s="29"/>
      <c r="LM47" s="29"/>
      <c r="LN47" s="29"/>
      <c r="LO47" s="29"/>
      <c r="LP47" s="29"/>
      <c r="LQ47" s="29"/>
      <c r="LR47" s="29"/>
      <c r="LS47" s="29"/>
      <c r="LT47" s="29"/>
      <c r="LU47" s="29"/>
      <c r="LV47" s="29"/>
      <c r="LW47" s="29"/>
      <c r="LX47" s="29"/>
      <c r="LY47" s="29"/>
      <c r="LZ47" s="29"/>
      <c r="MA47" s="29"/>
      <c r="MB47" s="29"/>
      <c r="MC47" s="29"/>
      <c r="MD47" s="29"/>
      <c r="ME47" s="29"/>
      <c r="MF47" s="29"/>
      <c r="MG47" s="29"/>
      <c r="MH47" s="29"/>
      <c r="MI47" s="29"/>
      <c r="MJ47" s="29"/>
      <c r="MK47" s="29"/>
      <c r="ML47" s="29"/>
      <c r="MM47" s="29"/>
      <c r="MN47" s="29"/>
      <c r="MO47" s="29"/>
      <c r="MP47" s="29"/>
      <c r="MQ47" s="29"/>
      <c r="MR47" s="29"/>
      <c r="MS47" s="29"/>
      <c r="MT47" s="29"/>
      <c r="MU47" s="29"/>
      <c r="MV47" s="29"/>
      <c r="MW47" s="29"/>
      <c r="MX47" s="29"/>
      <c r="MY47" s="29"/>
      <c r="MZ47" s="29"/>
      <c r="NA47" s="29"/>
      <c r="NB47" s="29"/>
      <c r="NC47" s="29"/>
      <c r="ND47" s="29"/>
      <c r="NE47" s="29"/>
      <c r="NF47" s="29"/>
    </row>
    <row r="48" spans="1:370" s="22" customFormat="1" ht="12" customHeight="1">
      <c r="A48" s="7" t="s">
        <v>37</v>
      </c>
      <c r="B48" s="21">
        <f>'Paste here'!B186</f>
        <v>0</v>
      </c>
      <c r="C48" s="8"/>
      <c r="D48" s="9">
        <f>(G48-50)/10</f>
        <v>-3</v>
      </c>
      <c r="E48" s="23">
        <f>'Paste here'!E186</f>
        <v>0</v>
      </c>
      <c r="F48"/>
      <c r="G48" s="97">
        <f>IF('Paste here'!D186&lt;20,20,'Paste here'!D186)</f>
        <v>20</v>
      </c>
      <c r="H48" s="63">
        <f>G48-50</f>
        <v>-30</v>
      </c>
      <c r="I48" s="60">
        <v>50</v>
      </c>
      <c r="J48" s="48">
        <v>40</v>
      </c>
      <c r="K48" s="48">
        <v>30</v>
      </c>
      <c r="L48" s="48">
        <v>60</v>
      </c>
      <c r="M48" s="61">
        <v>70</v>
      </c>
      <c r="N48" s="66">
        <v>14.5</v>
      </c>
      <c r="O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  <c r="IS48" s="29"/>
      <c r="IT48" s="29"/>
      <c r="IU48" s="29"/>
      <c r="IV48" s="29"/>
      <c r="IW48" s="29"/>
      <c r="IX48" s="29"/>
      <c r="IY48" s="29"/>
      <c r="IZ48" s="29"/>
      <c r="JA48" s="29"/>
      <c r="JB48" s="29"/>
      <c r="JC48" s="29"/>
      <c r="JD48" s="29"/>
      <c r="JE48" s="29"/>
      <c r="JF48" s="29"/>
      <c r="JG48" s="29"/>
      <c r="JH48" s="29"/>
      <c r="JI48" s="29"/>
      <c r="JJ48" s="29"/>
      <c r="JK48" s="29"/>
      <c r="JL48" s="29"/>
      <c r="JM48" s="29"/>
      <c r="JN48" s="29"/>
      <c r="JO48" s="29"/>
      <c r="JP48" s="29"/>
      <c r="JQ48" s="29"/>
      <c r="JR48" s="29"/>
      <c r="JS48" s="29"/>
      <c r="JT48" s="29"/>
      <c r="JU48" s="29"/>
      <c r="JV48" s="29"/>
      <c r="JW48" s="29"/>
      <c r="JX48" s="29"/>
      <c r="JY48" s="29"/>
      <c r="JZ48" s="29"/>
      <c r="KA48" s="29"/>
      <c r="KB48" s="29"/>
      <c r="KC48" s="29"/>
      <c r="KD48" s="29"/>
      <c r="KE48" s="29"/>
      <c r="KF48" s="29"/>
      <c r="KG48" s="29"/>
      <c r="KH48" s="29"/>
      <c r="KI48" s="29"/>
      <c r="KJ48" s="29"/>
      <c r="KK48" s="29"/>
      <c r="KL48" s="29"/>
      <c r="KM48" s="29"/>
      <c r="KN48" s="29"/>
      <c r="KO48" s="29"/>
      <c r="KP48" s="29"/>
      <c r="KQ48" s="29"/>
      <c r="KR48" s="29"/>
      <c r="KS48" s="29"/>
      <c r="KT48" s="29"/>
      <c r="KU48" s="29"/>
      <c r="KV48" s="29"/>
      <c r="KW48" s="29"/>
      <c r="KX48" s="29"/>
      <c r="KY48" s="29"/>
      <c r="KZ48" s="29"/>
      <c r="LA48" s="29"/>
      <c r="LB48" s="29"/>
      <c r="LC48" s="29"/>
      <c r="LD48" s="29"/>
      <c r="LE48" s="29"/>
      <c r="LF48" s="29"/>
      <c r="LG48" s="29"/>
      <c r="LH48" s="29"/>
      <c r="LI48" s="29"/>
      <c r="LJ48" s="29"/>
      <c r="LK48" s="29"/>
      <c r="LL48" s="29"/>
      <c r="LM48" s="29"/>
      <c r="LN48" s="29"/>
      <c r="LO48" s="29"/>
      <c r="LP48" s="29"/>
      <c r="LQ48" s="29"/>
      <c r="LR48" s="29"/>
      <c r="LS48" s="29"/>
      <c r="LT48" s="29"/>
      <c r="LU48" s="29"/>
      <c r="LV48" s="29"/>
      <c r="LW48" s="29"/>
      <c r="LX48" s="29"/>
      <c r="LY48" s="29"/>
      <c r="LZ48" s="29"/>
      <c r="MA48" s="29"/>
      <c r="MB48" s="29"/>
      <c r="MC48" s="29"/>
      <c r="MD48" s="29"/>
      <c r="ME48" s="29"/>
      <c r="MF48" s="29"/>
      <c r="MG48" s="29"/>
      <c r="MH48" s="29"/>
      <c r="MI48" s="29"/>
      <c r="MJ48" s="29"/>
      <c r="MK48" s="29"/>
      <c r="ML48" s="29"/>
      <c r="MM48" s="29"/>
      <c r="MN48" s="29"/>
      <c r="MO48" s="29"/>
      <c r="MP48" s="29"/>
      <c r="MQ48" s="29"/>
      <c r="MR48" s="29"/>
      <c r="MS48" s="29"/>
      <c r="MT48" s="29"/>
      <c r="MU48" s="29"/>
      <c r="MV48" s="29"/>
      <c r="MW48" s="29"/>
      <c r="MX48" s="29"/>
      <c r="MY48" s="29"/>
      <c r="MZ48" s="29"/>
      <c r="NA48" s="29"/>
      <c r="NB48" s="29"/>
      <c r="NC48" s="29"/>
      <c r="ND48" s="29"/>
      <c r="NE48" s="29"/>
      <c r="NF48" s="29"/>
    </row>
    <row r="49" spans="1:370" s="29" customFormat="1" ht="12" customHeight="1">
      <c r="A49" s="30" t="s">
        <v>38</v>
      </c>
      <c r="B49" s="28"/>
      <c r="C49" s="26"/>
      <c r="D49" s="27"/>
      <c r="E49" s="71"/>
      <c r="F49"/>
      <c r="G49" s="63"/>
      <c r="H49" s="63"/>
      <c r="I49" s="60">
        <v>50</v>
      </c>
      <c r="J49" s="48">
        <v>40</v>
      </c>
      <c r="K49" s="48">
        <v>30</v>
      </c>
      <c r="L49" s="48">
        <v>60</v>
      </c>
      <c r="M49" s="61">
        <v>70</v>
      </c>
      <c r="N49" s="66">
        <v>13.5</v>
      </c>
      <c r="O49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</row>
    <row r="50" spans="1:370" s="22" customFormat="1" ht="12" customHeight="1">
      <c r="A50" s="12" t="str">
        <f>CONCATENATE("Total Learning (",'Paste here'!P22,")")</f>
        <v>Total Learning ()</v>
      </c>
      <c r="B50" s="21">
        <f>'Paste here'!B174</f>
        <v>0</v>
      </c>
      <c r="C50" s="8"/>
      <c r="D50" s="9">
        <f>(G50-50)/10</f>
        <v>-3</v>
      </c>
      <c r="E50" s="23">
        <f>'Paste here'!E174</f>
        <v>0</v>
      </c>
      <c r="F50"/>
      <c r="G50" s="97">
        <f>IF('Paste here'!D174&lt;20,20,'Paste here'!D174)</f>
        <v>20</v>
      </c>
      <c r="H50" s="63">
        <f>G50-50</f>
        <v>-30</v>
      </c>
      <c r="I50" s="60">
        <v>50</v>
      </c>
      <c r="J50" s="48">
        <v>40</v>
      </c>
      <c r="K50" s="48">
        <v>30</v>
      </c>
      <c r="L50" s="48">
        <v>60</v>
      </c>
      <c r="M50" s="61">
        <v>70</v>
      </c>
      <c r="N50" s="66">
        <v>12.5</v>
      </c>
      <c r="O50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  <c r="IS50" s="29"/>
      <c r="IT50" s="29"/>
      <c r="IU50" s="29"/>
      <c r="IV50" s="29"/>
      <c r="IW50" s="29"/>
      <c r="IX50" s="29"/>
      <c r="IY50" s="29"/>
      <c r="IZ50" s="29"/>
      <c r="JA50" s="29"/>
      <c r="JB50" s="29"/>
      <c r="JC50" s="29"/>
      <c r="JD50" s="29"/>
      <c r="JE50" s="29"/>
      <c r="JF50" s="29"/>
      <c r="JG50" s="29"/>
      <c r="JH50" s="29"/>
      <c r="JI50" s="29"/>
      <c r="JJ50" s="29"/>
      <c r="JK50" s="29"/>
      <c r="JL50" s="29"/>
      <c r="JM50" s="29"/>
      <c r="JN50" s="29"/>
      <c r="JO50" s="29"/>
      <c r="JP50" s="29"/>
      <c r="JQ50" s="29"/>
      <c r="JR50" s="29"/>
      <c r="JS50" s="29"/>
      <c r="JT50" s="29"/>
      <c r="JU50" s="29"/>
      <c r="JV50" s="29"/>
      <c r="JW50" s="29"/>
      <c r="JX50" s="29"/>
      <c r="JY50" s="29"/>
      <c r="JZ50" s="29"/>
      <c r="KA50" s="29"/>
      <c r="KB50" s="29"/>
      <c r="KC50" s="29"/>
      <c r="KD50" s="29"/>
      <c r="KE50" s="29"/>
      <c r="KF50" s="29"/>
      <c r="KG50" s="29"/>
      <c r="KH50" s="29"/>
      <c r="KI50" s="29"/>
      <c r="KJ50" s="29"/>
      <c r="KK50" s="29"/>
      <c r="KL50" s="29"/>
      <c r="KM50" s="29"/>
      <c r="KN50" s="29"/>
      <c r="KO50" s="29"/>
      <c r="KP50" s="29"/>
      <c r="KQ50" s="29"/>
      <c r="KR50" s="29"/>
      <c r="KS50" s="29"/>
      <c r="KT50" s="29"/>
      <c r="KU50" s="29"/>
      <c r="KV50" s="29"/>
      <c r="KW50" s="29"/>
      <c r="KX50" s="29"/>
      <c r="KY50" s="29"/>
      <c r="KZ50" s="29"/>
      <c r="LA50" s="29"/>
      <c r="LB50" s="29"/>
      <c r="LC50" s="29"/>
      <c r="LD50" s="29"/>
      <c r="LE50" s="29"/>
      <c r="LF50" s="29"/>
      <c r="LG50" s="29"/>
      <c r="LH50" s="29"/>
      <c r="LI50" s="29"/>
      <c r="LJ50" s="29"/>
      <c r="LK50" s="29"/>
      <c r="LL50" s="29"/>
      <c r="LM50" s="29"/>
      <c r="LN50" s="29"/>
      <c r="LO50" s="29"/>
      <c r="LP50" s="29"/>
      <c r="LQ50" s="29"/>
      <c r="LR50" s="29"/>
      <c r="LS50" s="29"/>
      <c r="LT50" s="29"/>
      <c r="LU50" s="29"/>
      <c r="LV50" s="29"/>
      <c r="LW50" s="29"/>
      <c r="LX50" s="29"/>
      <c r="LY50" s="29"/>
      <c r="LZ50" s="29"/>
      <c r="MA50" s="29"/>
      <c r="MB50" s="29"/>
      <c r="MC50" s="29"/>
      <c r="MD50" s="29"/>
      <c r="ME50" s="29"/>
      <c r="MF50" s="29"/>
      <c r="MG50" s="29"/>
      <c r="MH50" s="29"/>
      <c r="MI50" s="29"/>
      <c r="MJ50" s="29"/>
      <c r="MK50" s="29"/>
      <c r="ML50" s="29"/>
      <c r="MM50" s="29"/>
      <c r="MN50" s="29"/>
      <c r="MO50" s="29"/>
      <c r="MP50" s="29"/>
      <c r="MQ50" s="29"/>
      <c r="MR50" s="29"/>
      <c r="MS50" s="29"/>
      <c r="MT50" s="29"/>
      <c r="MU50" s="29"/>
      <c r="MV50" s="29"/>
      <c r="MW50" s="29"/>
      <c r="MX50" s="29"/>
      <c r="MY50" s="29"/>
      <c r="MZ50" s="29"/>
      <c r="NA50" s="29"/>
      <c r="NB50" s="29"/>
      <c r="NC50" s="29"/>
      <c r="ND50" s="29"/>
      <c r="NE50" s="29"/>
      <c r="NF50" s="29"/>
    </row>
    <row r="51" spans="1:370" s="29" customFormat="1" ht="12" customHeight="1">
      <c r="A51" s="25" t="s">
        <v>39</v>
      </c>
      <c r="B51" s="28">
        <f>'Paste here'!B175</f>
        <v>0</v>
      </c>
      <c r="C51" s="26"/>
      <c r="D51" s="27">
        <f>(G51-50)/10</f>
        <v>-3</v>
      </c>
      <c r="E51" s="71">
        <f>'Paste here'!E175</f>
        <v>0</v>
      </c>
      <c r="F51"/>
      <c r="G51" s="97">
        <f>IF('Paste here'!D175&lt;20,20,'Paste here'!D175)</f>
        <v>20</v>
      </c>
      <c r="H51" s="63">
        <f>G51-50</f>
        <v>-30</v>
      </c>
      <c r="I51" s="60">
        <v>50</v>
      </c>
      <c r="J51" s="48">
        <v>40</v>
      </c>
      <c r="K51" s="48">
        <v>30</v>
      </c>
      <c r="L51" s="48">
        <v>60</v>
      </c>
      <c r="M51" s="61">
        <v>70</v>
      </c>
      <c r="N51" s="66">
        <v>11.5</v>
      </c>
      <c r="O51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</row>
    <row r="52" spans="1:370" s="22" customFormat="1" ht="12" customHeight="1">
      <c r="A52" s="12" t="s">
        <v>40</v>
      </c>
      <c r="B52" s="21">
        <f>'Paste here'!B176</f>
        <v>0</v>
      </c>
      <c r="C52" s="8"/>
      <c r="D52" s="9">
        <f>(G52-50)/10</f>
        <v>-3</v>
      </c>
      <c r="E52" s="23">
        <f>'Paste here'!E176</f>
        <v>0</v>
      </c>
      <c r="F52"/>
      <c r="G52" s="97">
        <f>IF('Paste here'!D176&lt;20,20,'Paste here'!D176)</f>
        <v>20</v>
      </c>
      <c r="H52" s="63">
        <f>G52-50</f>
        <v>-30</v>
      </c>
      <c r="I52" s="60">
        <v>50</v>
      </c>
      <c r="J52" s="48">
        <v>40</v>
      </c>
      <c r="K52" s="48">
        <v>30</v>
      </c>
      <c r="L52" s="48">
        <v>60</v>
      </c>
      <c r="M52" s="61">
        <v>70</v>
      </c>
      <c r="N52" s="66">
        <v>10.5</v>
      </c>
      <c r="O52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  <c r="EC52" s="29"/>
      <c r="ED52" s="29"/>
      <c r="EE52" s="29"/>
      <c r="EF52" s="29"/>
      <c r="EG52" s="29"/>
      <c r="EH52" s="29"/>
      <c r="EI52" s="29"/>
      <c r="EJ52" s="29"/>
      <c r="EK52" s="29"/>
      <c r="EL52" s="29"/>
      <c r="EM52" s="29"/>
      <c r="EN52" s="29"/>
      <c r="EO52" s="29"/>
      <c r="EP52" s="29"/>
      <c r="EQ52" s="29"/>
      <c r="ER52" s="29"/>
      <c r="ES52" s="29"/>
      <c r="ET52" s="29"/>
      <c r="EU52" s="29"/>
      <c r="EV52" s="29"/>
      <c r="EW52" s="29"/>
      <c r="EX52" s="29"/>
      <c r="EY52" s="29"/>
      <c r="EZ52" s="29"/>
      <c r="FA52" s="29"/>
      <c r="FB52" s="29"/>
      <c r="FC52" s="29"/>
      <c r="FD52" s="29"/>
      <c r="FE52" s="29"/>
      <c r="FF52" s="29"/>
      <c r="FG52" s="29"/>
      <c r="FH52" s="29"/>
      <c r="FI52" s="29"/>
      <c r="FJ52" s="29"/>
      <c r="FK52" s="29"/>
      <c r="FL52" s="29"/>
      <c r="FM52" s="29"/>
      <c r="FN52" s="29"/>
      <c r="FO52" s="29"/>
      <c r="FP52" s="29"/>
      <c r="FQ52" s="29"/>
      <c r="FR52" s="29"/>
      <c r="FS52" s="29"/>
      <c r="FT52" s="29"/>
      <c r="FU52" s="29"/>
      <c r="FV52" s="29"/>
      <c r="FW52" s="29"/>
      <c r="FX52" s="29"/>
      <c r="FY52" s="29"/>
      <c r="FZ52" s="29"/>
      <c r="GA52" s="29"/>
      <c r="GB52" s="29"/>
      <c r="GC52" s="29"/>
      <c r="GD52" s="29"/>
      <c r="GE52" s="29"/>
      <c r="GF52" s="29"/>
      <c r="GG52" s="29"/>
      <c r="GH52" s="29"/>
      <c r="GI52" s="29"/>
      <c r="GJ52" s="29"/>
      <c r="GK52" s="29"/>
      <c r="GL52" s="29"/>
      <c r="GM52" s="29"/>
      <c r="GN52" s="29"/>
      <c r="GO52" s="29"/>
      <c r="GP52" s="29"/>
      <c r="GQ52" s="29"/>
      <c r="GR52" s="29"/>
      <c r="GS52" s="29"/>
      <c r="GT52" s="29"/>
      <c r="GU52" s="29"/>
      <c r="GV52" s="29"/>
      <c r="GW52" s="29"/>
      <c r="GX52" s="29"/>
      <c r="GY52" s="29"/>
      <c r="GZ52" s="29"/>
      <c r="HA52" s="29"/>
      <c r="HB52" s="29"/>
      <c r="HC52" s="29"/>
      <c r="HD52" s="29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29"/>
      <c r="HW52" s="29"/>
      <c r="HX52" s="29"/>
      <c r="HY52" s="29"/>
      <c r="HZ52" s="29"/>
      <c r="IA52" s="29"/>
      <c r="IB52" s="29"/>
      <c r="IC52" s="29"/>
      <c r="ID52" s="29"/>
      <c r="IE52" s="29"/>
      <c r="IF52" s="29"/>
      <c r="IG52" s="29"/>
      <c r="IH52" s="29"/>
      <c r="II52" s="29"/>
      <c r="IJ52" s="29"/>
      <c r="IK52" s="29"/>
      <c r="IL52" s="29"/>
      <c r="IM52" s="29"/>
      <c r="IN52" s="29"/>
      <c r="IO52" s="29"/>
      <c r="IP52" s="29"/>
      <c r="IQ52" s="29"/>
      <c r="IR52" s="29"/>
      <c r="IS52" s="29"/>
      <c r="IT52" s="29"/>
      <c r="IU52" s="29"/>
      <c r="IV52" s="29"/>
      <c r="IW52" s="29"/>
      <c r="IX52" s="29"/>
      <c r="IY52" s="29"/>
      <c r="IZ52" s="29"/>
      <c r="JA52" s="29"/>
      <c r="JB52" s="29"/>
      <c r="JC52" s="29"/>
      <c r="JD52" s="29"/>
      <c r="JE52" s="29"/>
      <c r="JF52" s="29"/>
      <c r="JG52" s="29"/>
      <c r="JH52" s="29"/>
      <c r="JI52" s="29"/>
      <c r="JJ52" s="29"/>
      <c r="JK52" s="29"/>
      <c r="JL52" s="29"/>
      <c r="JM52" s="29"/>
      <c r="JN52" s="29"/>
      <c r="JO52" s="29"/>
      <c r="JP52" s="29"/>
      <c r="JQ52" s="29"/>
      <c r="JR52" s="29"/>
      <c r="JS52" s="29"/>
      <c r="JT52" s="29"/>
      <c r="JU52" s="29"/>
      <c r="JV52" s="29"/>
      <c r="JW52" s="29"/>
      <c r="JX52" s="29"/>
      <c r="JY52" s="29"/>
      <c r="JZ52" s="29"/>
      <c r="KA52" s="29"/>
      <c r="KB52" s="29"/>
      <c r="KC52" s="29"/>
      <c r="KD52" s="29"/>
      <c r="KE52" s="29"/>
      <c r="KF52" s="29"/>
      <c r="KG52" s="29"/>
      <c r="KH52" s="29"/>
      <c r="KI52" s="29"/>
      <c r="KJ52" s="29"/>
      <c r="KK52" s="29"/>
      <c r="KL52" s="29"/>
      <c r="KM52" s="29"/>
      <c r="KN52" s="29"/>
      <c r="KO52" s="29"/>
      <c r="KP52" s="29"/>
      <c r="KQ52" s="29"/>
      <c r="KR52" s="29"/>
      <c r="KS52" s="29"/>
      <c r="KT52" s="29"/>
      <c r="KU52" s="29"/>
      <c r="KV52" s="29"/>
      <c r="KW52" s="29"/>
      <c r="KX52" s="29"/>
      <c r="KY52" s="29"/>
      <c r="KZ52" s="29"/>
      <c r="LA52" s="29"/>
      <c r="LB52" s="29"/>
      <c r="LC52" s="29"/>
      <c r="LD52" s="29"/>
      <c r="LE52" s="29"/>
      <c r="LF52" s="29"/>
      <c r="LG52" s="29"/>
      <c r="LH52" s="29"/>
      <c r="LI52" s="29"/>
      <c r="LJ52" s="29"/>
      <c r="LK52" s="29"/>
      <c r="LL52" s="29"/>
      <c r="LM52" s="29"/>
      <c r="LN52" s="29"/>
      <c r="LO52" s="29"/>
      <c r="LP52" s="29"/>
      <c r="LQ52" s="29"/>
      <c r="LR52" s="29"/>
      <c r="LS52" s="29"/>
      <c r="LT52" s="29"/>
      <c r="LU52" s="29"/>
      <c r="LV52" s="29"/>
      <c r="LW52" s="29"/>
      <c r="LX52" s="29"/>
      <c r="LY52" s="29"/>
      <c r="LZ52" s="29"/>
      <c r="MA52" s="29"/>
      <c r="MB52" s="29"/>
      <c r="MC52" s="29"/>
      <c r="MD52" s="29"/>
      <c r="ME52" s="29"/>
      <c r="MF52" s="29"/>
      <c r="MG52" s="29"/>
      <c r="MH52" s="29"/>
      <c r="MI52" s="29"/>
      <c r="MJ52" s="29"/>
      <c r="MK52" s="29"/>
      <c r="ML52" s="29"/>
      <c r="MM52" s="29"/>
      <c r="MN52" s="29"/>
      <c r="MO52" s="29"/>
      <c r="MP52" s="29"/>
      <c r="MQ52" s="29"/>
      <c r="MR52" s="29"/>
      <c r="MS52" s="29"/>
      <c r="MT52" s="29"/>
      <c r="MU52" s="29"/>
      <c r="MV52" s="29"/>
      <c r="MW52" s="29"/>
      <c r="MX52" s="29"/>
      <c r="MY52" s="29"/>
      <c r="MZ52" s="29"/>
      <c r="NA52" s="29"/>
      <c r="NB52" s="29"/>
      <c r="NC52" s="29"/>
      <c r="ND52" s="29"/>
      <c r="NE52" s="29"/>
      <c r="NF52" s="29"/>
    </row>
    <row r="53" spans="1:370" s="29" customFormat="1" ht="12" customHeight="1">
      <c r="A53" s="25" t="str">
        <f>CONCATENATE("Recognition (",'Paste here'!P24,"H, ",'Paste here'!P25,"FP)")</f>
        <v>Recognition (H, FP)</v>
      </c>
      <c r="B53" s="28">
        <f>'Paste here'!B177</f>
        <v>0</v>
      </c>
      <c r="C53" s="26"/>
      <c r="D53" s="27">
        <f>(G53-50)/10</f>
        <v>-3</v>
      </c>
      <c r="E53" s="71">
        <f>'Paste here'!E177</f>
        <v>0</v>
      </c>
      <c r="F53"/>
      <c r="G53" s="97">
        <f>IF('Paste here'!D177&lt;20,20,'Paste here'!D177)</f>
        <v>20</v>
      </c>
      <c r="H53" s="63">
        <f>G53-50</f>
        <v>-30</v>
      </c>
      <c r="I53" s="60">
        <v>50</v>
      </c>
      <c r="J53" s="48">
        <v>40</v>
      </c>
      <c r="K53" s="48">
        <v>30</v>
      </c>
      <c r="L53" s="48">
        <v>60</v>
      </c>
      <c r="M53" s="61">
        <v>70</v>
      </c>
      <c r="N53" s="66">
        <v>9.5</v>
      </c>
      <c r="O53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</row>
    <row r="54" spans="1:370" s="48" customFormat="1" ht="12" customHeight="1">
      <c r="A54" s="7" t="s">
        <v>58</v>
      </c>
      <c r="B54" s="43"/>
      <c r="C54" s="44"/>
      <c r="D54" s="45"/>
      <c r="E54" s="72"/>
      <c r="F54"/>
      <c r="G54" s="63"/>
      <c r="H54" s="63"/>
      <c r="I54" s="60">
        <v>50</v>
      </c>
      <c r="J54" s="48">
        <v>40</v>
      </c>
      <c r="K54" s="48">
        <v>30</v>
      </c>
      <c r="L54" s="48">
        <v>60</v>
      </c>
      <c r="M54" s="61">
        <v>70</v>
      </c>
      <c r="N54" s="66">
        <v>8.5</v>
      </c>
      <c r="O54"/>
    </row>
    <row r="55" spans="1:370" s="48" customFormat="1" ht="12" customHeight="1">
      <c r="A55" s="25" t="s">
        <v>59</v>
      </c>
      <c r="B55" s="28">
        <f>'Paste here'!B182</f>
        <v>0</v>
      </c>
      <c r="C55" s="49"/>
      <c r="D55" s="27">
        <f>(G55-50)/10</f>
        <v>-3</v>
      </c>
      <c r="E55" s="71">
        <f>'Paste here'!E182</f>
        <v>0</v>
      </c>
      <c r="F55"/>
      <c r="G55" s="97">
        <f>IF('Paste here'!D182&lt;20,20,'Paste here'!D182)</f>
        <v>20</v>
      </c>
      <c r="H55" s="63">
        <f>G55-50</f>
        <v>-30</v>
      </c>
      <c r="I55" s="60">
        <v>50</v>
      </c>
      <c r="J55" s="48">
        <v>40</v>
      </c>
      <c r="K55" s="48">
        <v>30</v>
      </c>
      <c r="L55" s="48">
        <v>60</v>
      </c>
      <c r="M55" s="61">
        <v>70</v>
      </c>
      <c r="N55" s="66">
        <v>7.5</v>
      </c>
      <c r="O55"/>
    </row>
    <row r="56" spans="1:370" s="48" customFormat="1" ht="12" customHeight="1">
      <c r="A56" s="12" t="s">
        <v>60</v>
      </c>
      <c r="B56" s="21">
        <f>'Paste here'!B183</f>
        <v>0</v>
      </c>
      <c r="C56" s="44"/>
      <c r="D56" s="9">
        <f>(G56-50)/10</f>
        <v>-3</v>
      </c>
      <c r="E56" s="23">
        <f>'Paste here'!E183</f>
        <v>0</v>
      </c>
      <c r="F56"/>
      <c r="G56" s="97">
        <f>IF('Paste here'!D183&lt;20,20,'Paste here'!D183)</f>
        <v>20</v>
      </c>
      <c r="H56" s="63">
        <f>G56-50</f>
        <v>-30</v>
      </c>
      <c r="I56" s="60">
        <v>50</v>
      </c>
      <c r="J56" s="48">
        <v>40</v>
      </c>
      <c r="K56" s="48">
        <v>30</v>
      </c>
      <c r="L56" s="48">
        <v>60</v>
      </c>
      <c r="M56" s="61">
        <v>70</v>
      </c>
      <c r="N56" s="66">
        <v>6.5</v>
      </c>
      <c r="O56"/>
    </row>
    <row r="57" spans="1:370" ht="12" customHeight="1">
      <c r="A57" s="10"/>
      <c r="D57" s="11"/>
      <c r="E57" s="24"/>
      <c r="G57" s="63"/>
      <c r="H57" s="63"/>
      <c r="I57" s="60">
        <v>50</v>
      </c>
      <c r="J57" s="48">
        <v>40</v>
      </c>
      <c r="K57" s="48">
        <v>30</v>
      </c>
      <c r="L57" s="48">
        <v>60</v>
      </c>
      <c r="M57" s="61">
        <v>70</v>
      </c>
      <c r="N57" s="66">
        <v>5.5</v>
      </c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  <c r="IS57" s="29"/>
      <c r="IT57" s="29"/>
      <c r="IU57" s="29"/>
      <c r="IV57" s="29"/>
      <c r="IW57" s="29"/>
      <c r="IX57" s="29"/>
      <c r="IY57" s="29"/>
      <c r="IZ57" s="29"/>
      <c r="JA57" s="29"/>
      <c r="JB57" s="29"/>
      <c r="JC57" s="29"/>
      <c r="JD57" s="29"/>
      <c r="JE57" s="29"/>
      <c r="JF57" s="29"/>
      <c r="JG57" s="29"/>
      <c r="JH57" s="29"/>
      <c r="JI57" s="29"/>
      <c r="JJ57" s="29"/>
      <c r="JK57" s="29"/>
      <c r="JL57" s="29"/>
      <c r="JM57" s="29"/>
      <c r="JN57" s="29"/>
      <c r="JO57" s="29"/>
      <c r="JP57" s="29"/>
      <c r="JQ57" s="29"/>
      <c r="JR57" s="29"/>
      <c r="JS57" s="29"/>
      <c r="JT57" s="29"/>
      <c r="JU57" s="29"/>
      <c r="JV57" s="29"/>
      <c r="JW57" s="29"/>
      <c r="JX57" s="29"/>
      <c r="JY57" s="29"/>
      <c r="JZ57" s="29"/>
      <c r="KA57" s="29"/>
      <c r="KB57" s="29"/>
      <c r="KC57" s="29"/>
      <c r="KD57" s="29"/>
      <c r="KE57" s="29"/>
      <c r="KF57" s="29"/>
      <c r="KG57" s="29"/>
      <c r="KH57" s="29"/>
      <c r="KI57" s="29"/>
      <c r="KJ57" s="29"/>
      <c r="KK57" s="29"/>
      <c r="KL57" s="29"/>
      <c r="KM57" s="29"/>
      <c r="KN57" s="29"/>
      <c r="KO57" s="29"/>
      <c r="KP57" s="29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  <c r="LE57" s="29"/>
      <c r="LF57" s="29"/>
      <c r="LG57" s="29"/>
      <c r="LH57" s="29"/>
      <c r="LI57" s="29"/>
      <c r="LJ57" s="29"/>
      <c r="LK57" s="29"/>
      <c r="LL57" s="29"/>
      <c r="LM57" s="29"/>
      <c r="LN57" s="29"/>
      <c r="LO57" s="29"/>
      <c r="LP57" s="29"/>
      <c r="LQ57" s="29"/>
      <c r="LR57" s="29"/>
      <c r="LS57" s="29"/>
      <c r="LT57" s="29"/>
      <c r="LU57" s="29"/>
      <c r="LV57" s="29"/>
      <c r="LW57" s="29"/>
      <c r="LX57" s="29"/>
      <c r="LY57" s="29"/>
      <c r="LZ57" s="29"/>
      <c r="MA57" s="29"/>
      <c r="MB57" s="29"/>
      <c r="MC57" s="29"/>
      <c r="MD57" s="29"/>
      <c r="ME57" s="29"/>
      <c r="MF57" s="29"/>
      <c r="MG57" s="29"/>
      <c r="MH57" s="29"/>
      <c r="MI57" s="29"/>
      <c r="MJ57" s="29"/>
      <c r="MK57" s="29"/>
      <c r="ML57" s="29"/>
      <c r="MM57" s="29"/>
      <c r="MN57" s="29"/>
      <c r="MO57" s="29"/>
      <c r="MP57" s="29"/>
      <c r="MQ57" s="29"/>
      <c r="MR57" s="29"/>
      <c r="MS57" s="29"/>
      <c r="MT57" s="29"/>
      <c r="MU57" s="29"/>
      <c r="MV57" s="29"/>
      <c r="MW57" s="29"/>
      <c r="MX57" s="29"/>
      <c r="MY57" s="29"/>
      <c r="MZ57" s="29"/>
      <c r="NA57" s="29"/>
      <c r="NB57" s="29"/>
      <c r="NC57" s="29"/>
      <c r="ND57" s="29"/>
      <c r="NE57" s="29"/>
      <c r="NF57" s="29"/>
    </row>
    <row r="58" spans="1:370" ht="12" customHeight="1">
      <c r="A58" s="14" t="s">
        <v>41</v>
      </c>
      <c r="D58" s="11"/>
      <c r="E58" s="24"/>
      <c r="G58" s="63"/>
      <c r="H58" s="63"/>
      <c r="I58" s="60">
        <v>50</v>
      </c>
      <c r="J58" s="48">
        <v>40</v>
      </c>
      <c r="K58" s="48">
        <v>30</v>
      </c>
      <c r="L58" s="48">
        <v>60</v>
      </c>
      <c r="M58" s="61">
        <v>70</v>
      </c>
      <c r="N58" s="66">
        <v>4.5</v>
      </c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  <c r="IS58" s="29"/>
      <c r="IT58" s="29"/>
      <c r="IU58" s="29"/>
      <c r="IV58" s="29"/>
      <c r="IW58" s="29"/>
      <c r="IX58" s="29"/>
      <c r="IY58" s="29"/>
      <c r="IZ58" s="29"/>
      <c r="JA58" s="29"/>
      <c r="JB58" s="29"/>
      <c r="JC58" s="29"/>
      <c r="JD58" s="29"/>
      <c r="JE58" s="29"/>
      <c r="JF58" s="29"/>
      <c r="JG58" s="29"/>
      <c r="JH58" s="29"/>
      <c r="JI58" s="29"/>
      <c r="JJ58" s="29"/>
      <c r="JK58" s="29"/>
      <c r="JL58" s="29"/>
      <c r="JM58" s="29"/>
      <c r="JN58" s="29"/>
      <c r="JO58" s="29"/>
      <c r="JP58" s="29"/>
      <c r="JQ58" s="29"/>
      <c r="JR58" s="29"/>
      <c r="JS58" s="29"/>
      <c r="JT58" s="29"/>
      <c r="JU58" s="29"/>
      <c r="JV58" s="29"/>
      <c r="JW58" s="29"/>
      <c r="JX58" s="29"/>
      <c r="JY58" s="29"/>
      <c r="JZ58" s="29"/>
      <c r="KA58" s="29"/>
      <c r="KB58" s="29"/>
      <c r="KC58" s="29"/>
      <c r="KD58" s="29"/>
      <c r="KE58" s="29"/>
      <c r="KF58" s="29"/>
      <c r="KG58" s="29"/>
      <c r="KH58" s="29"/>
      <c r="KI58" s="29"/>
      <c r="KJ58" s="29"/>
      <c r="KK58" s="29"/>
      <c r="KL58" s="29"/>
      <c r="KM58" s="29"/>
      <c r="KN58" s="29"/>
      <c r="KO58" s="29"/>
      <c r="KP58" s="29"/>
      <c r="KQ58" s="29"/>
      <c r="KR58" s="29"/>
      <c r="KS58" s="29"/>
      <c r="KT58" s="29"/>
      <c r="KU58" s="29"/>
      <c r="KV58" s="29"/>
      <c r="KW58" s="29"/>
      <c r="KX58" s="29"/>
      <c r="KY58" s="29"/>
      <c r="KZ58" s="29"/>
      <c r="LA58" s="29"/>
      <c r="LB58" s="29"/>
      <c r="LC58" s="29"/>
      <c r="LD58" s="29"/>
      <c r="LE58" s="29"/>
      <c r="LF58" s="29"/>
      <c r="LG58" s="29"/>
      <c r="LH58" s="29"/>
      <c r="LI58" s="29"/>
      <c r="LJ58" s="29"/>
      <c r="LK58" s="29"/>
      <c r="LL58" s="29"/>
      <c r="LM58" s="29"/>
      <c r="LN58" s="29"/>
      <c r="LO58" s="29"/>
      <c r="LP58" s="29"/>
      <c r="LQ58" s="29"/>
      <c r="LR58" s="29"/>
      <c r="LS58" s="29"/>
      <c r="LT58" s="29"/>
      <c r="LU58" s="29"/>
      <c r="LV58" s="29"/>
      <c r="LW58" s="29"/>
      <c r="LX58" s="29"/>
      <c r="LY58" s="29"/>
      <c r="LZ58" s="29"/>
      <c r="MA58" s="29"/>
      <c r="MB58" s="29"/>
      <c r="MC58" s="29"/>
      <c r="MD58" s="29"/>
      <c r="ME58" s="29"/>
      <c r="MF58" s="29"/>
      <c r="MG58" s="29"/>
      <c r="MH58" s="29"/>
      <c r="MI58" s="29"/>
      <c r="MJ58" s="29"/>
      <c r="MK58" s="29"/>
      <c r="ML58" s="29"/>
      <c r="MM58" s="29"/>
      <c r="MN58" s="29"/>
      <c r="MO58" s="29"/>
      <c r="MP58" s="29"/>
      <c r="MQ58" s="29"/>
      <c r="MR58" s="29"/>
      <c r="MS58" s="29"/>
      <c r="MT58" s="29"/>
      <c r="MU58" s="29"/>
      <c r="MV58" s="29"/>
      <c r="MW58" s="29"/>
      <c r="MX58" s="29"/>
      <c r="MY58" s="29"/>
      <c r="MZ58" s="29"/>
      <c r="NA58" s="29"/>
      <c r="NB58" s="29"/>
      <c r="NC58" s="29"/>
      <c r="ND58" s="29"/>
      <c r="NE58" s="29"/>
      <c r="NF58" s="29"/>
    </row>
    <row r="59" spans="1:370" s="22" customFormat="1" ht="12" customHeight="1">
      <c r="A59" s="7" t="s">
        <v>42</v>
      </c>
      <c r="B59" s="23"/>
      <c r="C59" s="8"/>
      <c r="D59" s="9"/>
      <c r="E59" s="23"/>
      <c r="F59"/>
      <c r="G59" s="63"/>
      <c r="H59" s="63"/>
      <c r="I59" s="60">
        <v>50</v>
      </c>
      <c r="J59" s="48">
        <v>40</v>
      </c>
      <c r="K59" s="48">
        <v>30</v>
      </c>
      <c r="L59" s="48">
        <v>60</v>
      </c>
      <c r="M59" s="61">
        <v>70</v>
      </c>
      <c r="N59" s="66">
        <v>3.5</v>
      </c>
      <c r="O59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  <c r="IS59" s="29"/>
      <c r="IT59" s="29"/>
      <c r="IU59" s="29"/>
      <c r="IV59" s="29"/>
      <c r="IW59" s="29"/>
      <c r="IX59" s="29"/>
      <c r="IY59" s="29"/>
      <c r="IZ59" s="29"/>
      <c r="JA59" s="29"/>
      <c r="JB59" s="29"/>
      <c r="JC59" s="29"/>
      <c r="JD59" s="29"/>
      <c r="JE59" s="29"/>
      <c r="JF59" s="29"/>
      <c r="JG59" s="29"/>
      <c r="JH59" s="29"/>
      <c r="JI59" s="29"/>
      <c r="JJ59" s="29"/>
      <c r="JK59" s="29"/>
      <c r="JL59" s="29"/>
      <c r="JM59" s="29"/>
      <c r="JN59" s="29"/>
      <c r="JO59" s="29"/>
      <c r="JP59" s="29"/>
      <c r="JQ59" s="29"/>
      <c r="JR59" s="29"/>
      <c r="JS59" s="29"/>
      <c r="JT59" s="29"/>
      <c r="JU59" s="29"/>
      <c r="JV59" s="29"/>
      <c r="JW59" s="29"/>
      <c r="JX59" s="29"/>
      <c r="JY59" s="29"/>
      <c r="JZ59" s="29"/>
      <c r="KA59" s="29"/>
      <c r="KB59" s="29"/>
      <c r="KC59" s="29"/>
      <c r="KD59" s="29"/>
      <c r="KE59" s="29"/>
      <c r="KF59" s="29"/>
      <c r="KG59" s="29"/>
      <c r="KH59" s="29"/>
      <c r="KI59" s="29"/>
      <c r="KJ59" s="29"/>
      <c r="KK59" s="29"/>
      <c r="KL59" s="29"/>
      <c r="KM59" s="29"/>
      <c r="KN59" s="29"/>
      <c r="KO59" s="29"/>
      <c r="KP59" s="29"/>
      <c r="KQ59" s="29"/>
      <c r="KR59" s="29"/>
      <c r="KS59" s="29"/>
      <c r="KT59" s="29"/>
      <c r="KU59" s="29"/>
      <c r="KV59" s="29"/>
      <c r="KW59" s="29"/>
      <c r="KX59" s="29"/>
      <c r="KY59" s="29"/>
      <c r="KZ59" s="29"/>
      <c r="LA59" s="29"/>
      <c r="LB59" s="29"/>
      <c r="LC59" s="29"/>
      <c r="LD59" s="29"/>
      <c r="LE59" s="29"/>
      <c r="LF59" s="29"/>
      <c r="LG59" s="29"/>
      <c r="LH59" s="29"/>
      <c r="LI59" s="29"/>
      <c r="LJ59" s="29"/>
      <c r="LK59" s="29"/>
      <c r="LL59" s="29"/>
      <c r="LM59" s="29"/>
      <c r="LN59" s="29"/>
      <c r="LO59" s="29"/>
      <c r="LP59" s="29"/>
      <c r="LQ59" s="29"/>
      <c r="LR59" s="29"/>
      <c r="LS59" s="29"/>
      <c r="LT59" s="29"/>
      <c r="LU59" s="29"/>
      <c r="LV59" s="29"/>
      <c r="LW59" s="29"/>
      <c r="LX59" s="29"/>
      <c r="LY59" s="29"/>
      <c r="LZ59" s="29"/>
      <c r="MA59" s="29"/>
      <c r="MB59" s="29"/>
      <c r="MC59" s="29"/>
      <c r="MD59" s="29"/>
      <c r="ME59" s="29"/>
      <c r="MF59" s="29"/>
      <c r="MG59" s="29"/>
      <c r="MH59" s="29"/>
      <c r="MI59" s="29"/>
      <c r="MJ59" s="29"/>
      <c r="MK59" s="29"/>
      <c r="ML59" s="29"/>
      <c r="MM59" s="29"/>
      <c r="MN59" s="29"/>
      <c r="MO59" s="29"/>
      <c r="MP59" s="29"/>
      <c r="MQ59" s="29"/>
      <c r="MR59" s="29"/>
      <c r="MS59" s="29"/>
      <c r="MT59" s="29"/>
      <c r="MU59" s="29"/>
      <c r="MV59" s="29"/>
      <c r="MW59" s="29"/>
      <c r="MX59" s="29"/>
      <c r="MY59" s="29"/>
      <c r="MZ59" s="29"/>
      <c r="NA59" s="29"/>
      <c r="NB59" s="29"/>
      <c r="NC59" s="29"/>
      <c r="ND59" s="29"/>
      <c r="NE59" s="29"/>
      <c r="NF59" s="29"/>
    </row>
    <row r="60" spans="1:370" ht="12" customHeight="1">
      <c r="A60" s="13" t="s">
        <v>43</v>
      </c>
      <c r="B60" s="24">
        <f>'Paste here'!B196</f>
        <v>0</v>
      </c>
      <c r="D60" s="98">
        <f>(G60-50)/10</f>
        <v>-5</v>
      </c>
      <c r="E60" s="24" t="str">
        <f>IF(G60&gt;65,"Elevated","Normal")</f>
        <v>Normal</v>
      </c>
      <c r="G60" s="64">
        <f>IF('Paste here'!D195&gt;80,80,'Paste here'!D195)</f>
        <v>0</v>
      </c>
      <c r="H60" s="63">
        <f>G60-50</f>
        <v>-50</v>
      </c>
      <c r="I60" s="60">
        <v>50</v>
      </c>
      <c r="J60" s="48">
        <v>40</v>
      </c>
      <c r="K60" s="48">
        <v>30</v>
      </c>
      <c r="L60" s="48">
        <v>60</v>
      </c>
      <c r="M60" s="61">
        <v>70</v>
      </c>
      <c r="N60" s="66">
        <v>2.5</v>
      </c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29"/>
      <c r="DX60" s="2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29"/>
      <c r="FL60" s="2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29"/>
      <c r="GF60" s="2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29"/>
      <c r="GZ60" s="29"/>
      <c r="HA60" s="29"/>
      <c r="HB60" s="29"/>
      <c r="HC60" s="29"/>
      <c r="HD60" s="29"/>
      <c r="HE60" s="29"/>
      <c r="HF60" s="29"/>
      <c r="HG60" s="29"/>
      <c r="HH60" s="29"/>
      <c r="HI60" s="29"/>
      <c r="HJ60" s="29"/>
      <c r="HK60" s="29"/>
      <c r="HL60" s="29"/>
      <c r="HM60" s="29"/>
      <c r="HN60" s="29"/>
      <c r="HO60" s="29"/>
      <c r="HP60" s="29"/>
      <c r="HQ60" s="29"/>
      <c r="HR60" s="29"/>
      <c r="HS60" s="29"/>
      <c r="HT60" s="29"/>
      <c r="HU60" s="29"/>
      <c r="HV60" s="29"/>
      <c r="HW60" s="29"/>
      <c r="HX60" s="29"/>
      <c r="HY60" s="29"/>
      <c r="HZ60" s="29"/>
      <c r="IA60" s="29"/>
      <c r="IB60" s="29"/>
      <c r="IC60" s="29"/>
      <c r="ID60" s="29"/>
      <c r="IE60" s="29"/>
      <c r="IF60" s="29"/>
      <c r="IG60" s="29"/>
      <c r="IH60" s="29"/>
      <c r="II60" s="29"/>
      <c r="IJ60" s="29"/>
      <c r="IK60" s="29"/>
      <c r="IL60" s="29"/>
      <c r="IM60" s="29"/>
      <c r="IN60" s="29"/>
      <c r="IO60" s="29"/>
      <c r="IP60" s="29"/>
      <c r="IQ60" s="29"/>
      <c r="IR60" s="29"/>
      <c r="IS60" s="29"/>
      <c r="IT60" s="29"/>
      <c r="IU60" s="29"/>
      <c r="IV60" s="29"/>
      <c r="IW60" s="29"/>
      <c r="IX60" s="29"/>
      <c r="IY60" s="29"/>
      <c r="IZ60" s="29"/>
      <c r="JA60" s="29"/>
      <c r="JB60" s="29"/>
      <c r="JC60" s="29"/>
      <c r="JD60" s="29"/>
      <c r="JE60" s="29"/>
      <c r="JF60" s="29"/>
      <c r="JG60" s="29"/>
      <c r="JH60" s="29"/>
      <c r="JI60" s="29"/>
      <c r="JJ60" s="29"/>
      <c r="JK60" s="29"/>
      <c r="JL60" s="29"/>
      <c r="JM60" s="29"/>
      <c r="JN60" s="29"/>
      <c r="JO60" s="29"/>
      <c r="JP60" s="29"/>
      <c r="JQ60" s="29"/>
      <c r="JR60" s="29"/>
      <c r="JS60" s="29"/>
      <c r="JT60" s="29"/>
      <c r="JU60" s="29"/>
      <c r="JV60" s="29"/>
      <c r="JW60" s="29"/>
      <c r="JX60" s="29"/>
      <c r="JY60" s="29"/>
      <c r="JZ60" s="29"/>
      <c r="KA60" s="29"/>
      <c r="KB60" s="29"/>
      <c r="KC60" s="29"/>
      <c r="KD60" s="29"/>
      <c r="KE60" s="29"/>
      <c r="KF60" s="29"/>
      <c r="KG60" s="29"/>
      <c r="KH60" s="29"/>
      <c r="KI60" s="29"/>
      <c r="KJ60" s="29"/>
      <c r="KK60" s="29"/>
      <c r="KL60" s="29"/>
      <c r="KM60" s="29"/>
      <c r="KN60" s="29"/>
      <c r="KO60" s="29"/>
      <c r="KP60" s="29"/>
      <c r="KQ60" s="29"/>
      <c r="KR60" s="29"/>
      <c r="KS60" s="29"/>
      <c r="KT60" s="29"/>
      <c r="KU60" s="29"/>
      <c r="KV60" s="29"/>
      <c r="KW60" s="29"/>
      <c r="KX60" s="29"/>
      <c r="KY60" s="29"/>
      <c r="KZ60" s="29"/>
      <c r="LA60" s="29"/>
      <c r="LB60" s="29"/>
      <c r="LC60" s="29"/>
      <c r="LD60" s="29"/>
      <c r="LE60" s="29"/>
      <c r="LF60" s="29"/>
      <c r="LG60" s="29"/>
      <c r="LH60" s="29"/>
      <c r="LI60" s="29"/>
      <c r="LJ60" s="29"/>
      <c r="LK60" s="29"/>
      <c r="LL60" s="29"/>
      <c r="LM60" s="29"/>
      <c r="LN60" s="29"/>
      <c r="LO60" s="29"/>
      <c r="LP60" s="29"/>
      <c r="LQ60" s="29"/>
      <c r="LR60" s="29"/>
      <c r="LS60" s="29"/>
      <c r="LT60" s="29"/>
      <c r="LU60" s="29"/>
      <c r="LV60" s="29"/>
      <c r="LW60" s="29"/>
      <c r="LX60" s="29"/>
      <c r="LY60" s="29"/>
      <c r="LZ60" s="29"/>
      <c r="MA60" s="29"/>
      <c r="MB60" s="29"/>
      <c r="MC60" s="29"/>
      <c r="MD60" s="29"/>
      <c r="ME60" s="29"/>
      <c r="MF60" s="29"/>
      <c r="MG60" s="29"/>
      <c r="MH60" s="29"/>
      <c r="MI60" s="29"/>
      <c r="MJ60" s="29"/>
      <c r="MK60" s="29"/>
      <c r="ML60" s="29"/>
      <c r="MM60" s="29"/>
      <c r="MN60" s="29"/>
      <c r="MO60" s="29"/>
      <c r="MP60" s="29"/>
      <c r="MQ60" s="29"/>
      <c r="MR60" s="29"/>
      <c r="MS60" s="29"/>
      <c r="MT60" s="29"/>
      <c r="MU60" s="29"/>
      <c r="MV60" s="29"/>
      <c r="MW60" s="29"/>
      <c r="MX60" s="29"/>
      <c r="MY60" s="29"/>
      <c r="MZ60" s="29"/>
      <c r="NA60" s="29"/>
      <c r="NB60" s="29"/>
      <c r="NC60" s="29"/>
      <c r="ND60" s="29"/>
      <c r="NE60" s="29"/>
      <c r="NF60" s="29"/>
    </row>
    <row r="61" spans="1:370" s="22" customFormat="1" ht="12" customHeight="1">
      <c r="A61" s="12" t="s">
        <v>44</v>
      </c>
      <c r="B61" s="23">
        <f>'Paste here'!B195</f>
        <v>0</v>
      </c>
      <c r="C61" s="8"/>
      <c r="D61" s="99">
        <f>(G61-50)/10</f>
        <v>-5</v>
      </c>
      <c r="E61" s="23" t="str">
        <f>IF(G60&gt;65,"Elevated","Normal")</f>
        <v>Normal</v>
      </c>
      <c r="F61"/>
      <c r="G61" s="64">
        <f>IF('Paste here'!D196&gt;80,80,'Paste here'!D196)</f>
        <v>0</v>
      </c>
      <c r="H61" s="63">
        <f>G61-50</f>
        <v>-50</v>
      </c>
      <c r="I61" s="60">
        <v>50</v>
      </c>
      <c r="J61" s="48">
        <v>40</v>
      </c>
      <c r="K61" s="48">
        <v>30</v>
      </c>
      <c r="L61" s="48">
        <v>60</v>
      </c>
      <c r="M61" s="61">
        <v>70</v>
      </c>
      <c r="N61" s="66">
        <v>1.5</v>
      </c>
      <c r="O61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  <c r="IS61" s="29"/>
      <c r="IT61" s="29"/>
      <c r="IU61" s="29"/>
      <c r="IV61" s="29"/>
      <c r="IW61" s="29"/>
      <c r="IX61" s="29"/>
      <c r="IY61" s="29"/>
      <c r="IZ61" s="29"/>
      <c r="JA61" s="29"/>
      <c r="JB61" s="29"/>
      <c r="JC61" s="29"/>
      <c r="JD61" s="29"/>
      <c r="JE61" s="29"/>
      <c r="JF61" s="29"/>
      <c r="JG61" s="29"/>
      <c r="JH61" s="29"/>
      <c r="JI61" s="29"/>
      <c r="JJ61" s="29"/>
      <c r="JK61" s="29"/>
      <c r="JL61" s="29"/>
      <c r="JM61" s="29"/>
      <c r="JN61" s="29"/>
      <c r="JO61" s="29"/>
      <c r="JP61" s="29"/>
      <c r="JQ61" s="29"/>
      <c r="JR61" s="29"/>
      <c r="JS61" s="29"/>
      <c r="JT61" s="29"/>
      <c r="JU61" s="29"/>
      <c r="JV61" s="29"/>
      <c r="JW61" s="29"/>
      <c r="JX61" s="29"/>
      <c r="JY61" s="29"/>
      <c r="JZ61" s="29"/>
      <c r="KA61" s="29"/>
      <c r="KB61" s="29"/>
      <c r="KC61" s="29"/>
      <c r="KD61" s="29"/>
      <c r="KE61" s="29"/>
      <c r="KF61" s="29"/>
      <c r="KG61" s="29"/>
      <c r="KH61" s="29"/>
      <c r="KI61" s="29"/>
      <c r="KJ61" s="29"/>
      <c r="KK61" s="29"/>
      <c r="KL61" s="29"/>
      <c r="KM61" s="29"/>
      <c r="KN61" s="29"/>
      <c r="KO61" s="29"/>
      <c r="KP61" s="29"/>
      <c r="KQ61" s="29"/>
      <c r="KR61" s="29"/>
      <c r="KS61" s="29"/>
      <c r="KT61" s="29"/>
      <c r="KU61" s="29"/>
      <c r="KV61" s="29"/>
      <c r="KW61" s="29"/>
      <c r="KX61" s="29"/>
      <c r="KY61" s="29"/>
      <c r="KZ61" s="29"/>
      <c r="LA61" s="29"/>
      <c r="LB61" s="29"/>
      <c r="LC61" s="29"/>
      <c r="LD61" s="29"/>
      <c r="LE61" s="29"/>
      <c r="LF61" s="29"/>
      <c r="LG61" s="29"/>
      <c r="LH61" s="29"/>
      <c r="LI61" s="29"/>
      <c r="LJ61" s="29"/>
      <c r="LK61" s="29"/>
      <c r="LL61" s="29"/>
      <c r="LM61" s="29"/>
      <c r="LN61" s="29"/>
      <c r="LO61" s="29"/>
      <c r="LP61" s="29"/>
      <c r="LQ61" s="29"/>
      <c r="LR61" s="29"/>
      <c r="LS61" s="29"/>
      <c r="LT61" s="29"/>
      <c r="LU61" s="29"/>
      <c r="LV61" s="29"/>
      <c r="LW61" s="29"/>
      <c r="LX61" s="29"/>
      <c r="LY61" s="29"/>
      <c r="LZ61" s="29"/>
      <c r="MA61" s="29"/>
      <c r="MB61" s="29"/>
      <c r="MC61" s="29"/>
      <c r="MD61" s="29"/>
      <c r="ME61" s="29"/>
      <c r="MF61" s="29"/>
      <c r="MG61" s="29"/>
      <c r="MH61" s="29"/>
      <c r="MI61" s="29"/>
      <c r="MJ61" s="29"/>
      <c r="MK61" s="29"/>
      <c r="ML61" s="29"/>
      <c r="MM61" s="29"/>
      <c r="MN61" s="29"/>
      <c r="MO61" s="29"/>
      <c r="MP61" s="29"/>
      <c r="MQ61" s="29"/>
      <c r="MR61" s="29"/>
      <c r="MS61" s="29"/>
      <c r="MT61" s="29"/>
      <c r="MU61" s="29"/>
      <c r="MV61" s="29"/>
      <c r="MW61" s="29"/>
      <c r="MX61" s="29"/>
      <c r="MY61" s="29"/>
      <c r="MZ61" s="29"/>
      <c r="NA61" s="29"/>
      <c r="NB61" s="29"/>
      <c r="NC61" s="29"/>
      <c r="ND61" s="29"/>
      <c r="NE61" s="29"/>
      <c r="NF61" s="29"/>
    </row>
    <row r="62" spans="1:370" ht="12" customHeight="1">
      <c r="A62" s="10" t="s">
        <v>71</v>
      </c>
      <c r="B62" s="24">
        <f>'Paste here'!B197</f>
        <v>0</v>
      </c>
      <c r="D62" s="98">
        <f>(G62-50)/10</f>
        <v>-5</v>
      </c>
      <c r="E62" s="24" t="str">
        <f>IF(G62&gt;65,"Numerous Symptoms",IF(G62&lt;60,"Normal","Mild Symptoms"))</f>
        <v>Normal</v>
      </c>
      <c r="G62" s="64">
        <f>IF('Paste here'!D197&gt;80,80,'Paste here'!D197)</f>
        <v>0</v>
      </c>
      <c r="H62" s="63">
        <f>G62-50</f>
        <v>-50</v>
      </c>
      <c r="I62" s="60">
        <v>50</v>
      </c>
      <c r="J62" s="48">
        <v>40</v>
      </c>
      <c r="K62" s="48">
        <v>30</v>
      </c>
      <c r="L62" s="48">
        <v>60</v>
      </c>
      <c r="M62" s="61">
        <v>70</v>
      </c>
      <c r="N62" s="67">
        <v>0.5</v>
      </c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  <c r="IS62" s="29"/>
      <c r="IT62" s="29"/>
      <c r="IU62" s="29"/>
      <c r="IV62" s="29"/>
      <c r="IW62" s="29"/>
      <c r="IX62" s="29"/>
      <c r="IY62" s="29"/>
      <c r="IZ62" s="29"/>
      <c r="JA62" s="29"/>
      <c r="JB62" s="29"/>
      <c r="JC62" s="29"/>
      <c r="JD62" s="29"/>
      <c r="JE62" s="29"/>
      <c r="JF62" s="29"/>
      <c r="JG62" s="29"/>
      <c r="JH62" s="29"/>
      <c r="JI62" s="29"/>
      <c r="JJ62" s="29"/>
      <c r="JK62" s="29"/>
      <c r="JL62" s="29"/>
      <c r="JM62" s="29"/>
      <c r="JN62" s="29"/>
      <c r="JO62" s="29"/>
      <c r="JP62" s="29"/>
      <c r="JQ62" s="29"/>
      <c r="JR62" s="29"/>
      <c r="JS62" s="29"/>
      <c r="JT62" s="29"/>
      <c r="JU62" s="29"/>
      <c r="JV62" s="29"/>
      <c r="JW62" s="29"/>
      <c r="JX62" s="29"/>
      <c r="JY62" s="29"/>
      <c r="JZ62" s="29"/>
      <c r="KA62" s="29"/>
      <c r="KB62" s="29"/>
      <c r="KC62" s="29"/>
      <c r="KD62" s="29"/>
      <c r="KE62" s="29"/>
      <c r="KF62" s="29"/>
      <c r="KG62" s="29"/>
      <c r="KH62" s="29"/>
      <c r="KI62" s="29"/>
      <c r="KJ62" s="29"/>
      <c r="KK62" s="29"/>
      <c r="KL62" s="29"/>
      <c r="KM62" s="29"/>
      <c r="KN62" s="29"/>
      <c r="KO62" s="29"/>
      <c r="KP62" s="29"/>
      <c r="KQ62" s="29"/>
      <c r="KR62" s="29"/>
      <c r="KS62" s="29"/>
      <c r="KT62" s="29"/>
      <c r="KU62" s="29"/>
      <c r="KV62" s="29"/>
      <c r="KW62" s="29"/>
      <c r="KX62" s="29"/>
      <c r="KY62" s="29"/>
      <c r="KZ62" s="29"/>
      <c r="LA62" s="29"/>
      <c r="LB62" s="29"/>
      <c r="LC62" s="29"/>
      <c r="LD62" s="29"/>
      <c r="LE62" s="29"/>
      <c r="LF62" s="29"/>
      <c r="LG62" s="29"/>
      <c r="LH62" s="29"/>
      <c r="LI62" s="29"/>
      <c r="LJ62" s="29"/>
      <c r="LK62" s="29"/>
      <c r="LL62" s="29"/>
      <c r="LM62" s="29"/>
      <c r="LN62" s="29"/>
      <c r="LO62" s="29"/>
      <c r="LP62" s="29"/>
      <c r="LQ62" s="29"/>
      <c r="LR62" s="29"/>
      <c r="LS62" s="29"/>
      <c r="LT62" s="29"/>
      <c r="LU62" s="29"/>
      <c r="LV62" s="29"/>
      <c r="LW62" s="29"/>
      <c r="LX62" s="29"/>
      <c r="LY62" s="29"/>
      <c r="LZ62" s="29"/>
      <c r="MA62" s="29"/>
      <c r="MB62" s="29"/>
      <c r="MC62" s="29"/>
      <c r="MD62" s="29"/>
      <c r="ME62" s="29"/>
      <c r="MF62" s="29"/>
      <c r="MG62" s="29"/>
      <c r="MH62" s="29"/>
      <c r="MI62" s="29"/>
      <c r="MJ62" s="29"/>
      <c r="MK62" s="29"/>
      <c r="ML62" s="29"/>
      <c r="MM62" s="29"/>
      <c r="MN62" s="29"/>
      <c r="MO62" s="29"/>
      <c r="MP62" s="29"/>
      <c r="MQ62" s="29"/>
      <c r="MR62" s="29"/>
      <c r="MS62" s="29"/>
      <c r="MT62" s="29"/>
      <c r="MU62" s="29"/>
      <c r="MV62" s="29"/>
      <c r="MW62" s="29"/>
      <c r="MX62" s="29"/>
      <c r="MY62" s="29"/>
      <c r="MZ62" s="29"/>
      <c r="NA62" s="29"/>
      <c r="NB62" s="29"/>
      <c r="NC62" s="29"/>
      <c r="ND62" s="29"/>
      <c r="NE62" s="29"/>
      <c r="NF62" s="29"/>
    </row>
    <row r="63" spans="1:370">
      <c r="G63" s="46"/>
      <c r="H63" s="46"/>
      <c r="I63" s="48"/>
      <c r="J63" s="48"/>
      <c r="K63" s="48"/>
      <c r="L63" s="48"/>
      <c r="M63" s="48"/>
      <c r="N63" s="47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29"/>
      <c r="DX63" s="2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29"/>
      <c r="ER63" s="2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29"/>
      <c r="FL63" s="2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29"/>
      <c r="GF63" s="2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29"/>
      <c r="GZ63" s="29"/>
      <c r="HA63" s="29"/>
      <c r="HB63" s="29"/>
      <c r="HC63" s="29"/>
      <c r="HD63" s="29"/>
      <c r="HE63" s="29"/>
      <c r="HF63" s="29"/>
      <c r="HG63" s="29"/>
      <c r="HH63" s="29"/>
      <c r="HI63" s="29"/>
      <c r="HJ63" s="29"/>
      <c r="HK63" s="29"/>
      <c r="HL63" s="29"/>
      <c r="HM63" s="29"/>
      <c r="HN63" s="29"/>
      <c r="HO63" s="29"/>
      <c r="HP63" s="29"/>
      <c r="HQ63" s="29"/>
      <c r="HR63" s="29"/>
      <c r="HS63" s="29"/>
      <c r="HT63" s="29"/>
      <c r="HU63" s="29"/>
      <c r="HV63" s="29"/>
      <c r="HW63" s="29"/>
      <c r="HX63" s="29"/>
      <c r="HY63" s="29"/>
      <c r="HZ63" s="29"/>
      <c r="IA63" s="29"/>
      <c r="IB63" s="29"/>
      <c r="IC63" s="29"/>
      <c r="ID63" s="29"/>
      <c r="IE63" s="29"/>
      <c r="IF63" s="29"/>
      <c r="IG63" s="29"/>
      <c r="IH63" s="29"/>
      <c r="II63" s="29"/>
      <c r="IJ63" s="29"/>
      <c r="IK63" s="29"/>
      <c r="IL63" s="29"/>
      <c r="IM63" s="29"/>
      <c r="IN63" s="29"/>
      <c r="IO63" s="29"/>
      <c r="IP63" s="29"/>
      <c r="IQ63" s="29"/>
      <c r="IR63" s="29"/>
      <c r="IS63" s="29"/>
      <c r="IT63" s="29"/>
      <c r="IU63" s="29"/>
      <c r="IV63" s="29"/>
      <c r="IW63" s="29"/>
      <c r="IX63" s="29"/>
      <c r="IY63" s="29"/>
      <c r="IZ63" s="29"/>
      <c r="JA63" s="29"/>
      <c r="JB63" s="29"/>
      <c r="JC63" s="29"/>
      <c r="JD63" s="29"/>
      <c r="JE63" s="29"/>
      <c r="JF63" s="29"/>
      <c r="JG63" s="29"/>
      <c r="JH63" s="29"/>
      <c r="JI63" s="29"/>
      <c r="JJ63" s="29"/>
      <c r="JK63" s="29"/>
      <c r="JL63" s="29"/>
      <c r="JM63" s="29"/>
      <c r="JN63" s="29"/>
      <c r="JO63" s="29"/>
      <c r="JP63" s="29"/>
      <c r="JQ63" s="29"/>
      <c r="JR63" s="29"/>
      <c r="JS63" s="29"/>
      <c r="JT63" s="29"/>
      <c r="JU63" s="29"/>
      <c r="JV63" s="29"/>
      <c r="JW63" s="29"/>
      <c r="JX63" s="29"/>
      <c r="JY63" s="29"/>
      <c r="JZ63" s="29"/>
      <c r="KA63" s="29"/>
      <c r="KB63" s="29"/>
      <c r="KC63" s="29"/>
      <c r="KD63" s="29"/>
      <c r="KE63" s="29"/>
      <c r="KF63" s="29"/>
      <c r="KG63" s="29"/>
      <c r="KH63" s="29"/>
      <c r="KI63" s="29"/>
      <c r="KJ63" s="29"/>
      <c r="KK63" s="29"/>
      <c r="KL63" s="29"/>
      <c r="KM63" s="29"/>
      <c r="KN63" s="29"/>
      <c r="KO63" s="29"/>
      <c r="KP63" s="29"/>
      <c r="KQ63" s="29"/>
      <c r="KR63" s="29"/>
      <c r="KS63" s="29"/>
      <c r="KT63" s="29"/>
      <c r="KU63" s="29"/>
      <c r="KV63" s="29"/>
      <c r="KW63" s="29"/>
      <c r="KX63" s="29"/>
      <c r="KY63" s="29"/>
      <c r="KZ63" s="29"/>
      <c r="LA63" s="29"/>
      <c r="LB63" s="29"/>
      <c r="LC63" s="29"/>
      <c r="LD63" s="29"/>
      <c r="LE63" s="29"/>
      <c r="LF63" s="29"/>
      <c r="LG63" s="29"/>
      <c r="LH63" s="29"/>
      <c r="LI63" s="29"/>
      <c r="LJ63" s="29"/>
      <c r="LK63" s="29"/>
      <c r="LL63" s="29"/>
      <c r="LM63" s="29"/>
      <c r="LN63" s="29"/>
      <c r="LO63" s="29"/>
      <c r="LP63" s="29"/>
      <c r="LQ63" s="29"/>
      <c r="LR63" s="29"/>
      <c r="LS63" s="29"/>
      <c r="LT63" s="29"/>
      <c r="LU63" s="29"/>
      <c r="LV63" s="29"/>
      <c r="LW63" s="29"/>
      <c r="LX63" s="29"/>
      <c r="LY63" s="29"/>
      <c r="LZ63" s="29"/>
      <c r="MA63" s="29"/>
      <c r="MB63" s="29"/>
      <c r="MC63" s="29"/>
      <c r="MD63" s="29"/>
      <c r="ME63" s="29"/>
      <c r="MF63" s="29"/>
      <c r="MG63" s="29"/>
      <c r="MH63" s="29"/>
      <c r="MI63" s="29"/>
      <c r="MJ63" s="29"/>
      <c r="MK63" s="29"/>
      <c r="ML63" s="29"/>
      <c r="MM63" s="29"/>
      <c r="MN63" s="29"/>
      <c r="MO63" s="29"/>
      <c r="MP63" s="29"/>
      <c r="MQ63" s="29"/>
      <c r="MR63" s="29"/>
      <c r="MS63" s="29"/>
      <c r="MT63" s="29"/>
      <c r="MU63" s="29"/>
      <c r="MV63" s="29"/>
      <c r="MW63" s="29"/>
      <c r="MX63" s="29"/>
      <c r="MY63" s="29"/>
      <c r="MZ63" s="29"/>
      <c r="NA63" s="29"/>
      <c r="NB63" s="29"/>
      <c r="NC63" s="29"/>
      <c r="ND63" s="29"/>
      <c r="NE63" s="29"/>
      <c r="NF63" s="29"/>
    </row>
    <row r="64" spans="1:370">
      <c r="H64" s="50"/>
    </row>
    <row r="65" spans="1:8">
      <c r="A65" s="100" t="s">
        <v>70</v>
      </c>
      <c r="B65" s="101"/>
      <c r="C65" s="101"/>
      <c r="D65" s="101"/>
      <c r="E65" s="101"/>
      <c r="H65" s="50"/>
    </row>
    <row r="66" spans="1:8">
      <c r="A66" s="101"/>
      <c r="B66" s="101"/>
      <c r="C66" s="101"/>
      <c r="D66" s="101"/>
      <c r="E66" s="101"/>
      <c r="H66" s="50"/>
    </row>
    <row r="67" spans="1:8">
      <c r="H67" s="50"/>
    </row>
    <row r="68" spans="1:8">
      <c r="H68" s="50"/>
    </row>
    <row r="69" spans="1:8">
      <c r="A69" s="59"/>
      <c r="H69" s="50"/>
    </row>
    <row r="70" spans="1:8">
      <c r="H70" s="50"/>
    </row>
    <row r="71" spans="1:8">
      <c r="H71" s="50"/>
    </row>
    <row r="72" spans="1:8">
      <c r="H72" s="50"/>
    </row>
    <row r="73" spans="1:8">
      <c r="H73" s="50"/>
    </row>
    <row r="74" spans="1:8">
      <c r="H74" s="50"/>
    </row>
    <row r="75" spans="1:8">
      <c r="H75" s="50"/>
    </row>
    <row r="76" spans="1:8">
      <c r="H76" s="50"/>
    </row>
    <row r="77" spans="1:8">
      <c r="H77" s="50"/>
    </row>
    <row r="78" spans="1:8">
      <c r="H78" s="50"/>
    </row>
    <row r="79" spans="1:8">
      <c r="H79" s="50"/>
    </row>
    <row r="80" spans="1:8">
      <c r="H80" s="50"/>
    </row>
    <row r="81" spans="8:8">
      <c r="H81" s="50"/>
    </row>
    <row r="82" spans="8:8">
      <c r="H82" s="50"/>
    </row>
    <row r="83" spans="8:8">
      <c r="H83" s="50"/>
    </row>
    <row r="84" spans="8:8">
      <c r="H84" s="50"/>
    </row>
  </sheetData>
  <mergeCells count="12">
    <mergeCell ref="A65:E66"/>
    <mergeCell ref="B1:D1"/>
    <mergeCell ref="B2:D2"/>
    <mergeCell ref="B3:D3"/>
    <mergeCell ref="B4:D4"/>
    <mergeCell ref="B8:D8"/>
    <mergeCell ref="N2:N9"/>
    <mergeCell ref="G2:G9"/>
    <mergeCell ref="H2:H9"/>
    <mergeCell ref="I2:M9"/>
    <mergeCell ref="I1:N1"/>
    <mergeCell ref="G1:H1"/>
  </mergeCells>
  <phoneticPr fontId="4" type="noConversion"/>
  <conditionalFormatting sqref="D12:D59">
    <cfRule type="dataBar" priority="23">
      <dataBar showValue="0">
        <cfvo type="num" val="-3"/>
        <cfvo type="num" val="3"/>
        <color theme="3" tint="0.39997558519241921"/>
      </dataBar>
      <extLst>
        <ext xmlns:x14="http://schemas.microsoft.com/office/spreadsheetml/2009/9/main" uri="{B025F937-C7B1-47D3-B67F-A62EFF666E3E}">
          <x14:id>{AD0D37F9-A10A-C743-B2DE-E6A701FB3A8D}</x14:id>
        </ext>
      </extLst>
    </cfRule>
  </conditionalFormatting>
  <conditionalFormatting sqref="D59 D48 D50 D52 D43 D41 D37 D35 D33">
    <cfRule type="cellIs" dxfId="8" priority="15" stopIfTrue="1" operator="between">
      <formula>-1.9</formula>
      <formula>-0.1</formula>
    </cfRule>
  </conditionalFormatting>
  <conditionalFormatting sqref="D49 D44 D38 D53 D51 D42 D36 D34 D32">
    <cfRule type="cellIs" dxfId="7" priority="13" stopIfTrue="1" operator="between">
      <formula>-1.9</formula>
      <formula>-0.1</formula>
    </cfRule>
  </conditionalFormatting>
  <conditionalFormatting sqref="D23 D28 D31">
    <cfRule type="cellIs" dxfId="6" priority="11" stopIfTrue="1" operator="between">
      <formula>-1.9</formula>
      <formula>-0.1</formula>
    </cfRule>
  </conditionalFormatting>
  <conditionalFormatting sqref="D13 D22 D27">
    <cfRule type="cellIs" dxfId="5" priority="10" stopIfTrue="1" operator="between">
      <formula>-1.9</formula>
      <formula>-0.1</formula>
    </cfRule>
  </conditionalFormatting>
  <conditionalFormatting sqref="H13:H62 G12:H12">
    <cfRule type="aboveAverage" priority="25"/>
  </conditionalFormatting>
  <conditionalFormatting sqref="D56">
    <cfRule type="cellIs" dxfId="4" priority="9" stopIfTrue="1" operator="between">
      <formula>-1.9</formula>
      <formula>-0.1</formula>
    </cfRule>
  </conditionalFormatting>
  <conditionalFormatting sqref="D55">
    <cfRule type="cellIs" dxfId="3" priority="8" stopIfTrue="1" operator="between">
      <formula>-1.9</formula>
      <formula>-0.1</formula>
    </cfRule>
  </conditionalFormatting>
  <conditionalFormatting sqref="D62">
    <cfRule type="cellIs" dxfId="2" priority="5" stopIfTrue="1" operator="between">
      <formula>0</formula>
      <formula>1.9</formula>
    </cfRule>
    <cfRule type="dataBar" priority="7">
      <dataBar showValue="0">
        <cfvo type="num" val="-3"/>
        <cfvo type="num" val="3"/>
        <color rgb="FFFF0000"/>
      </dataBar>
      <extLst>
        <ext xmlns:x14="http://schemas.microsoft.com/office/spreadsheetml/2009/9/main" uri="{B025F937-C7B1-47D3-B67F-A62EFF666E3E}">
          <x14:id>{6F747E7F-3A52-EE44-9CFE-A9C3DF4262D7}</x14:id>
        </ext>
      </extLst>
    </cfRule>
  </conditionalFormatting>
  <conditionalFormatting sqref="D60">
    <cfRule type="cellIs" dxfId="1" priority="3" stopIfTrue="1" operator="between">
      <formula>0</formula>
      <formula>1.9</formula>
    </cfRule>
    <cfRule type="dataBar" priority="4">
      <dataBar showValue="0">
        <cfvo type="num" val="-3"/>
        <cfvo type="num" val="3"/>
        <color rgb="FFFF0000"/>
      </dataBar>
      <extLst>
        <ext xmlns:x14="http://schemas.microsoft.com/office/spreadsheetml/2009/9/main" uri="{B025F937-C7B1-47D3-B67F-A62EFF666E3E}">
          <x14:id>{D14B376D-A0D3-3748-AFCC-14A2260D9B2D}</x14:id>
        </ext>
      </extLst>
    </cfRule>
  </conditionalFormatting>
  <conditionalFormatting sqref="D61">
    <cfRule type="dataBar" priority="1">
      <dataBar showValue="0">
        <cfvo type="num" val="-3"/>
        <cfvo type="num" val="3"/>
        <color rgb="FFFF0000"/>
      </dataBar>
      <extLst>
        <ext xmlns:x14="http://schemas.microsoft.com/office/spreadsheetml/2009/9/main" uri="{B025F937-C7B1-47D3-B67F-A62EFF666E3E}">
          <x14:id>{CC454F35-68C8-5342-94CE-0C0CF9C4EEC0}</x14:id>
        </ext>
      </extLst>
    </cfRule>
    <cfRule type="cellIs" dxfId="0" priority="2" stopIfTrue="1" operator="between">
      <formula>0</formula>
      <formula>1.9</formula>
    </cfRule>
  </conditionalFormatting>
  <printOptions horizontalCentered="1" verticalCentered="1"/>
  <pageMargins left="0.25" right="0.25" top="0.5" bottom="0.5" header="0.5" footer="0.5"/>
  <pageSetup scale="89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D0D37F9-A10A-C743-B2DE-E6A701FB3A8D}">
            <x14:dataBar minLength="0" maxLength="100" axisPosition="middle">
              <x14:cfvo type="num">
                <xm:f>-3</xm:f>
              </x14:cfvo>
              <x14:cfvo type="num">
                <xm:f>3</xm:f>
              </x14:cfvo>
              <x14:negativeFillColor rgb="FFFF0000"/>
              <x14:axisColor theme="0" tint="-4.9989318521683403E-2"/>
            </x14:dataBar>
          </x14:cfRule>
          <xm:sqref>D12:D59</xm:sqref>
        </x14:conditionalFormatting>
        <x14:conditionalFormatting xmlns:xm="http://schemas.microsoft.com/office/excel/2006/main">
          <x14:cfRule type="dataBar" id="{6F747E7F-3A52-EE44-9CFE-A9C3DF4262D7}">
            <x14:dataBar minLength="0" maxLength="100" axisPosition="middle">
              <x14:cfvo type="num">
                <xm:f>-3</xm:f>
              </x14:cfvo>
              <x14:cfvo type="num">
                <xm:f>3</xm:f>
              </x14:cfvo>
              <x14:negativeFillColor theme="4"/>
              <x14:axisColor rgb="FF000000"/>
            </x14:dataBar>
          </x14:cfRule>
          <xm:sqref>D62</xm:sqref>
        </x14:conditionalFormatting>
        <x14:conditionalFormatting xmlns:xm="http://schemas.microsoft.com/office/excel/2006/main">
          <x14:cfRule type="dataBar" id="{D14B376D-A0D3-3748-AFCC-14A2260D9B2D}">
            <x14:dataBar minLength="0" maxLength="100" axisPosition="middle">
              <x14:cfvo type="num">
                <xm:f>-3</xm:f>
              </x14:cfvo>
              <x14:cfvo type="num">
                <xm:f>3</xm:f>
              </x14:cfvo>
              <x14:negativeFillColor theme="4"/>
              <x14:axisColor rgb="FF000000"/>
            </x14:dataBar>
          </x14:cfRule>
          <xm:sqref>D60</xm:sqref>
        </x14:conditionalFormatting>
        <x14:conditionalFormatting xmlns:xm="http://schemas.microsoft.com/office/excel/2006/main">
          <x14:cfRule type="dataBar" id="{CC454F35-68C8-5342-94CE-0C0CF9C4EEC0}">
            <x14:dataBar minLength="0" maxLength="100">
              <x14:cfvo type="num">
                <xm:f>-3</xm:f>
              </x14:cfvo>
              <x14:cfvo type="num">
                <xm:f>3</xm:f>
              </x14:cfvo>
              <x14:negativeFillColor theme="4"/>
              <x14:axisColor rgb="FF000000"/>
            </x14:dataBar>
          </x14:cfRule>
          <xm:sqref>D61</xm:sqref>
        </x14:conditionalFormatting>
      </x14:conditionalFormattings>
    </ex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Paste here</vt:lpstr>
      <vt:lpstr>Results Overview</vt:lpstr>
    </vt:vector>
  </TitlesOfParts>
  <Company>Department of Veterans Affairs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VHABALTestaS</dc:creator>
  <cp:lastModifiedBy>Marc Testa</cp:lastModifiedBy>
  <cp:lastPrinted>2013-10-05T18:47:17Z</cp:lastPrinted>
  <dcterms:created xsi:type="dcterms:W3CDTF">2011-03-07T20:33:09Z</dcterms:created>
  <dcterms:modified xsi:type="dcterms:W3CDTF">2013-10-05T18:49:53Z</dcterms:modified>
</cp:coreProperties>
</file>