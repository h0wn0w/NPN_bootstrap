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030" codeName="{B7FE6334-C1A2-E50D-BD3D-5F4D41BBC2E3}"/>
  <workbookPr codeName="ThisWorkbook" autoCompressPictures="0"/>
  <bookViews>
    <workbookView showHorizontalScroll="0" showVerticalScroll="0" showSheetTabs="0" xWindow="17880" yWindow="1560" windowWidth="25600" windowHeight="16060"/>
  </bookViews>
  <sheets>
    <sheet name="Paste here" sheetId="3" r:id="rId1"/>
    <sheet name="COPY FROM HERE" sheetId="4" r:id="rId2"/>
  </sheets>
  <definedNames>
    <definedName name="OLE_LINK2" localSheetId="0">'Paste here'!$A$132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86" i="4" l="1"/>
  <c r="J159" i="4"/>
  <c r="L159" i="4"/>
  <c r="J160" i="4"/>
  <c r="B160" i="4"/>
  <c r="J161" i="4"/>
  <c r="B161" i="4"/>
  <c r="J162" i="4"/>
  <c r="L162" i="4"/>
  <c r="J163" i="4"/>
  <c r="B163" i="4"/>
  <c r="J164" i="4"/>
  <c r="B164" i="4"/>
  <c r="J165" i="4"/>
  <c r="B165" i="4"/>
  <c r="J166" i="4"/>
  <c r="B166" i="4"/>
  <c r="J167" i="4"/>
  <c r="L167" i="4"/>
  <c r="J168" i="4"/>
  <c r="B168" i="4"/>
  <c r="J169" i="4"/>
  <c r="B169" i="4"/>
  <c r="J170" i="4"/>
  <c r="L170" i="4"/>
  <c r="J171" i="4"/>
  <c r="L171" i="4"/>
  <c r="J172" i="4"/>
  <c r="L172" i="4"/>
  <c r="J173" i="4"/>
  <c r="L173" i="4"/>
  <c r="J174" i="4"/>
  <c r="B174" i="4"/>
  <c r="J175" i="4"/>
  <c r="B175" i="4"/>
  <c r="J176" i="4"/>
  <c r="B176" i="4"/>
  <c r="J177" i="4"/>
  <c r="B177" i="4"/>
  <c r="J178" i="4"/>
  <c r="L178" i="4"/>
  <c r="J179" i="4"/>
  <c r="L179" i="4"/>
  <c r="J158" i="4"/>
  <c r="L158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D155" i="4"/>
  <c r="D147" i="4"/>
  <c r="D146" i="4"/>
  <c r="D138" i="4"/>
  <c r="D134" i="4"/>
  <c r="D133" i="4"/>
  <c r="D128" i="4"/>
  <c r="D127" i="4"/>
  <c r="D126" i="4"/>
  <c r="D125" i="4"/>
  <c r="D119" i="4"/>
  <c r="D118" i="4"/>
  <c r="D117" i="4"/>
  <c r="D116" i="4"/>
  <c r="D102" i="4"/>
  <c r="D101" i="4"/>
  <c r="D98" i="4"/>
  <c r="D97" i="4"/>
  <c r="D96" i="4"/>
  <c r="D93" i="4"/>
  <c r="D92" i="4"/>
  <c r="D91" i="4"/>
  <c r="D83" i="4"/>
  <c r="D80" i="4"/>
  <c r="D79" i="4"/>
  <c r="D78" i="4"/>
  <c r="D77" i="4"/>
  <c r="D76" i="4"/>
  <c r="D75" i="4"/>
  <c r="D74" i="4"/>
  <c r="D66" i="4"/>
  <c r="D65" i="4"/>
  <c r="D64" i="4"/>
  <c r="D63" i="4"/>
  <c r="D55" i="4"/>
  <c r="D54" i="4"/>
  <c r="D53" i="4"/>
  <c r="D50" i="4"/>
  <c r="D49" i="4"/>
  <c r="D48" i="4"/>
  <c r="D39" i="4"/>
  <c r="D37" i="4"/>
  <c r="D34" i="4"/>
  <c r="D33" i="4"/>
  <c r="D32" i="4"/>
  <c r="D24" i="4"/>
  <c r="D23" i="4"/>
  <c r="D15" i="4"/>
  <c r="C155" i="4"/>
  <c r="C147" i="4"/>
  <c r="C146" i="4"/>
  <c r="C138" i="4"/>
  <c r="C134" i="4"/>
  <c r="C133" i="4"/>
  <c r="C128" i="4"/>
  <c r="C127" i="4"/>
  <c r="C126" i="4"/>
  <c r="C125" i="4"/>
  <c r="C119" i="4"/>
  <c r="C118" i="4"/>
  <c r="C117" i="4"/>
  <c r="C116" i="4"/>
  <c r="C102" i="4"/>
  <c r="C101" i="4"/>
  <c r="C98" i="4"/>
  <c r="C97" i="4"/>
  <c r="C96" i="4"/>
  <c r="C93" i="4"/>
  <c r="C92" i="4"/>
  <c r="C91" i="4"/>
  <c r="C83" i="4"/>
  <c r="C80" i="4"/>
  <c r="C79" i="4"/>
  <c r="C78" i="4"/>
  <c r="C77" i="4"/>
  <c r="C76" i="4"/>
  <c r="C75" i="4"/>
  <c r="C74" i="4"/>
  <c r="C66" i="4"/>
  <c r="C65" i="4"/>
  <c r="C64" i="4"/>
  <c r="C63" i="4"/>
  <c r="C55" i="4"/>
  <c r="C54" i="4"/>
  <c r="C53" i="4"/>
  <c r="C50" i="4"/>
  <c r="C49" i="4"/>
  <c r="C48" i="4"/>
  <c r="C39" i="4"/>
  <c r="C37" i="4"/>
  <c r="C34" i="4"/>
  <c r="C33" i="4"/>
  <c r="C32" i="4"/>
  <c r="C24" i="4"/>
  <c r="C23" i="4"/>
  <c r="C15" i="4"/>
  <c r="B155" i="4"/>
  <c r="B147" i="4"/>
  <c r="B146" i="4"/>
  <c r="B138" i="4"/>
  <c r="B134" i="4"/>
  <c r="B133" i="4"/>
  <c r="B126" i="4"/>
  <c r="B127" i="4"/>
  <c r="B128" i="4"/>
  <c r="B125" i="4"/>
  <c r="B117" i="4"/>
  <c r="B118" i="4"/>
  <c r="B119" i="4"/>
  <c r="B116" i="4"/>
  <c r="B102" i="4"/>
  <c r="B101" i="4"/>
  <c r="B97" i="4"/>
  <c r="B98" i="4"/>
  <c r="B96" i="4"/>
  <c r="B92" i="4"/>
  <c r="B93" i="4"/>
  <c r="B91" i="4"/>
  <c r="B83" i="4"/>
  <c r="B75" i="4"/>
  <c r="B76" i="4"/>
  <c r="B77" i="4"/>
  <c r="B78" i="4"/>
  <c r="B79" i="4"/>
  <c r="B80" i="4"/>
  <c r="B74" i="4"/>
  <c r="B64" i="4"/>
  <c r="B65" i="4"/>
  <c r="B66" i="4"/>
  <c r="B63" i="4"/>
  <c r="B55" i="4"/>
  <c r="B54" i="4"/>
  <c r="B53" i="4"/>
  <c r="B50" i="4"/>
  <c r="B49" i="4"/>
  <c r="B48" i="4"/>
  <c r="B39" i="4"/>
  <c r="B37" i="4"/>
  <c r="B33" i="4"/>
  <c r="B34" i="4"/>
  <c r="B32" i="4"/>
  <c r="B24" i="4"/>
  <c r="B23" i="4"/>
  <c r="B15" i="4"/>
  <c r="B7" i="4"/>
  <c r="C7" i="4"/>
  <c r="H151" i="4"/>
  <c r="B173" i="4"/>
  <c r="J181" i="4"/>
  <c r="J205" i="4"/>
  <c r="J206" i="4"/>
  <c r="J207" i="4"/>
  <c r="J209" i="4"/>
  <c r="J208" i="4"/>
  <c r="J204" i="4"/>
  <c r="J186" i="4"/>
  <c r="J185" i="4"/>
  <c r="L165" i="4"/>
  <c r="C165" i="4"/>
  <c r="L163" i="4"/>
  <c r="C163" i="4"/>
  <c r="L168" i="4"/>
  <c r="C168" i="4"/>
  <c r="L161" i="4"/>
  <c r="C161" i="4"/>
  <c r="L169" i="4"/>
  <c r="C169" i="4"/>
  <c r="B178" i="4"/>
  <c r="C178" i="4"/>
  <c r="B162" i="4"/>
  <c r="C162" i="4"/>
  <c r="L164" i="4"/>
  <c r="C164" i="4"/>
  <c r="L176" i="4"/>
  <c r="C176" i="4"/>
  <c r="L175" i="4"/>
  <c r="C175" i="4"/>
  <c r="B167" i="4"/>
  <c r="C167" i="4"/>
  <c r="B172" i="4"/>
  <c r="C172" i="4"/>
  <c r="B179" i="4"/>
  <c r="C179" i="4"/>
  <c r="B171" i="4"/>
  <c r="C171" i="4"/>
  <c r="C173" i="4"/>
  <c r="B170" i="4"/>
  <c r="C170" i="4"/>
  <c r="B159" i="4"/>
  <c r="C159" i="4"/>
  <c r="L160" i="4"/>
  <c r="C160" i="4"/>
  <c r="L177" i="4"/>
  <c r="C177" i="4"/>
  <c r="B158" i="4"/>
  <c r="C158" i="4"/>
  <c r="L166" i="4"/>
  <c r="C166" i="4"/>
  <c r="L174" i="4"/>
  <c r="C174" i="4"/>
</calcChain>
</file>

<file path=xl/sharedStrings.xml><?xml version="1.0" encoding="utf-8"?>
<sst xmlns="http://schemas.openxmlformats.org/spreadsheetml/2006/main" count="256" uniqueCount="157">
  <si>
    <t>Salthouse Perceptual Comparison Test:</t>
  </si>
  <si>
    <t>Digit Span:</t>
  </si>
  <si>
    <t>Hopkins Verbal Learning Test-Revised (HVLT-R):</t>
  </si>
  <si>
    <t>Brief Visuospatial Memory Test-Revised (BVMT-R):</t>
  </si>
  <si>
    <t>RAW</t>
  </si>
  <si>
    <t>T</t>
  </si>
  <si>
    <t>%ILE</t>
  </si>
  <si>
    <t>SS</t>
  </si>
  <si>
    <t>Wechsler Memory Scale Logical Memory (## Edition)</t>
  </si>
  <si>
    <t>Geriatric Depression Scale-15 (GDS-15):</t>
  </si>
  <si>
    <t>Enter T-Score</t>
  </si>
  <si>
    <t>INC</t>
  </si>
  <si>
    <t>INF</t>
  </si>
  <si>
    <t>NIM</t>
  </si>
  <si>
    <t>PIM</t>
  </si>
  <si>
    <t>SOM</t>
  </si>
  <si>
    <t>ANX</t>
  </si>
  <si>
    <t>ARD</t>
  </si>
  <si>
    <t>DEP</t>
  </si>
  <si>
    <t>MAN</t>
  </si>
  <si>
    <t>PAR</t>
  </si>
  <si>
    <t>SCZ</t>
  </si>
  <si>
    <t>BOR</t>
  </si>
  <si>
    <t>ANT</t>
  </si>
  <si>
    <t>ALC</t>
  </si>
  <si>
    <t>DRG</t>
  </si>
  <si>
    <t>AGG</t>
  </si>
  <si>
    <t>SUI</t>
  </si>
  <si>
    <t>STR</t>
  </si>
  <si>
    <t>NON</t>
  </si>
  <si>
    <t>RXR</t>
  </si>
  <si>
    <t>DOM</t>
  </si>
  <si>
    <t>WRM</t>
  </si>
  <si>
    <t>Mini Mental State Examination (MMSE):</t>
  </si>
  <si>
    <t>140 / &gt;99th</t>
  </si>
  <si>
    <t>135 / 99th</t>
  </si>
  <si>
    <t>130 / 98th</t>
  </si>
  <si>
    <t>125 / 95th</t>
  </si>
  <si>
    <t>120 / 91st</t>
  </si>
  <si>
    <t>115 / 84th</t>
  </si>
  <si>
    <t>110 / 75th</t>
  </si>
  <si>
    <t>105 / 63rd</t>
  </si>
  <si>
    <t>100 / 50th</t>
  </si>
  <si>
    <t xml:space="preserve"> 95 / 37th</t>
  </si>
  <si>
    <t xml:space="preserve"> 90 / 25th</t>
  </si>
  <si>
    <t xml:space="preserve"> 85 / 16th</t>
  </si>
  <si>
    <t xml:space="preserve"> 60 / &lt;1st</t>
  </si>
  <si>
    <t xml:space="preserve"> 80 / 9th </t>
  </si>
  <si>
    <t xml:space="preserve"> 75 / 5th </t>
  </si>
  <si>
    <t xml:space="preserve"> 70 / 2nd </t>
  </si>
  <si>
    <t xml:space="preserve"> 65 / 1st </t>
  </si>
  <si>
    <t xml:space="preserve">Speed  </t>
  </si>
  <si>
    <t xml:space="preserve"> SS / %ile</t>
  </si>
  <si>
    <t>Wrk.</t>
  </si>
  <si>
    <t>Mem</t>
  </si>
  <si>
    <t xml:space="preserve">Idea. </t>
  </si>
  <si>
    <t>Exec</t>
  </si>
  <si>
    <t>Fx.</t>
  </si>
  <si>
    <t xml:space="preserve">Flu. </t>
  </si>
  <si>
    <t>Visual</t>
  </si>
  <si>
    <t>Verbal</t>
  </si>
  <si>
    <t>Attn.</t>
  </si>
  <si>
    <t xml:space="preserve">Proc. </t>
  </si>
  <si>
    <t xml:space="preserve">  Brief Test of Attention (BTA):</t>
  </si>
  <si>
    <t>ESTIMATED FSIQ</t>
  </si>
  <si>
    <t>Hopkins Adult Reading Test (HART):</t>
  </si>
  <si>
    <t xml:space="preserve">                         Estimated IQ</t>
  </si>
  <si>
    <t xml:space="preserve">                          Total Score</t>
  </si>
  <si>
    <t xml:space="preserve">                        Dominant Hand</t>
  </si>
  <si>
    <t xml:space="preserve">                    Non-Dominant Hand</t>
  </si>
  <si>
    <t xml:space="preserve">             Tot. Correct, Letter Com</t>
  </si>
  <si>
    <t xml:space="preserve">            Tot. Correct, Pattern Com</t>
  </si>
  <si>
    <t xml:space="preserve">                         Tot. Correct</t>
  </si>
  <si>
    <t xml:space="preserve">                               Part A</t>
  </si>
  <si>
    <t xml:space="preserve">                               Errors</t>
  </si>
  <si>
    <t xml:space="preserve">                               Part B</t>
  </si>
  <si>
    <t xml:space="preserve">                 Longest Span Forward</t>
  </si>
  <si>
    <t xml:space="preserve">                Longest Span Backward</t>
  </si>
  <si>
    <t xml:space="preserve">               Total Correct, Numbers</t>
  </si>
  <si>
    <t xml:space="preserve">               Total Correct, Letters</t>
  </si>
  <si>
    <t xml:space="preserve">         Number of Categories Correct</t>
  </si>
  <si>
    <t xml:space="preserve">       Number of Perseverative Errors</t>
  </si>
  <si>
    <t xml:space="preserve">               Number of Total Errors</t>
  </si>
  <si>
    <t xml:space="preserve">      Percent of Perseverative Errors</t>
  </si>
  <si>
    <t xml:space="preserve">                              S Words</t>
  </si>
  <si>
    <t xml:space="preserve">                              P Words</t>
  </si>
  <si>
    <t xml:space="preserve">                  Letter Word Fluency</t>
  </si>
  <si>
    <t xml:space="preserve">                              Animals</t>
  </si>
  <si>
    <t xml:space="preserve">                    Supermarket Items</t>
  </si>
  <si>
    <t xml:space="preserve">                Category Word Fluency</t>
  </si>
  <si>
    <t xml:space="preserve">                 Verbal Fluency Total</t>
  </si>
  <si>
    <t xml:space="preserve">                        Total Correct</t>
  </si>
  <si>
    <t xml:space="preserve">                   Acceptable Designs</t>
  </si>
  <si>
    <t xml:space="preserve">                 Unacceptable Designs</t>
  </si>
  <si>
    <t xml:space="preserve">         Percent Unacceptable Designs</t>
  </si>
  <si>
    <t xml:space="preserve">                        Request Score</t>
  </si>
  <si>
    <t xml:space="preserve">                           Copy Score</t>
  </si>
  <si>
    <t xml:space="preserve">                         Total Score </t>
  </si>
  <si>
    <t xml:space="preserve">                     Total Copy Score</t>
  </si>
  <si>
    <t xml:space="preserve">                      Total Copy Time</t>
  </si>
  <si>
    <t xml:space="preserve">                     Immediate Recall</t>
  </si>
  <si>
    <t xml:space="preserve">                       Delayed Recall</t>
  </si>
  <si>
    <t xml:space="preserve">                          Recognition</t>
  </si>
  <si>
    <t xml:space="preserve">                                 Hits</t>
  </si>
  <si>
    <t xml:space="preserve">                False positive errors</t>
  </si>
  <si>
    <t xml:space="preserve">     Total Recall (Sum of Trials 1-3)</t>
  </si>
  <si>
    <t xml:space="preserve">                        Retention (%)</t>
  </si>
  <si>
    <t xml:space="preserve">           Number of Prompts Required</t>
  </si>
  <si>
    <t xml:space="preserve">                           Self Score</t>
  </si>
  <si>
    <t xml:space="preserve">                          Rater Score</t>
  </si>
  <si>
    <t>Modified Wisconsin Card Sorting Test (M-WCST):</t>
  </si>
  <si>
    <t>Calibrated Ideational Fluency Assessment (CIFA):</t>
  </si>
  <si>
    <t>Boston Naming Test (BNT-30):</t>
  </si>
  <si>
    <t>Clock Drawing:</t>
  </si>
  <si>
    <t>Rey Complex Figure Test (RCFT):</t>
  </si>
  <si>
    <t>Prospective Memory Test (PMT):</t>
  </si>
  <si>
    <t>Lawton Activities of Daily Living (ADL/IADL):</t>
  </si>
  <si>
    <t xml:space="preserve">                                  INC</t>
  </si>
  <si>
    <t xml:space="preserve">                                  INF</t>
  </si>
  <si>
    <t xml:space="preserve">                                  NIM</t>
  </si>
  <si>
    <t xml:space="preserve">                                  PIM</t>
  </si>
  <si>
    <t xml:space="preserve">                                  SOM</t>
  </si>
  <si>
    <t xml:space="preserve">                                  ANX</t>
  </si>
  <si>
    <t xml:space="preserve">                                  ARD</t>
  </si>
  <si>
    <t xml:space="preserve">                                  DEP</t>
  </si>
  <si>
    <t xml:space="preserve">                                  MAN</t>
  </si>
  <si>
    <t xml:space="preserve">                                  PAR</t>
  </si>
  <si>
    <t xml:space="preserve">                                  SCZ</t>
  </si>
  <si>
    <t xml:space="preserve">                                  BOR</t>
  </si>
  <si>
    <t xml:space="preserve">                                  ANT</t>
  </si>
  <si>
    <t xml:space="preserve">                                  ALC</t>
  </si>
  <si>
    <t xml:space="preserve">                                  DRG</t>
  </si>
  <si>
    <t xml:space="preserve">                                  AGG</t>
  </si>
  <si>
    <t xml:space="preserve">                                  SUI</t>
  </si>
  <si>
    <t xml:space="preserve">                                  STR</t>
  </si>
  <si>
    <t xml:space="preserve">                                  NON</t>
  </si>
  <si>
    <t xml:space="preserve">                                  RXR</t>
  </si>
  <si>
    <t xml:space="preserve">                                  DOM</t>
  </si>
  <si>
    <t xml:space="preserve">                                  WRM</t>
  </si>
  <si>
    <t xml:space="preserve">Grooved Pegboard Test (GPT):         </t>
  </si>
  <si>
    <t xml:space="preserve">Trail Making Test (TMT):             </t>
  </si>
  <si>
    <t xml:space="preserve">GENERAL COGNITIVE SCREENING          </t>
  </si>
  <si>
    <t>------------------------------------------------------------</t>
  </si>
  <si>
    <t xml:space="preserve">MOTOR SPEED AND DEXTERITY            </t>
  </si>
  <si>
    <t xml:space="preserve">BASIC AND COMPLEX PROCESSING SPEED   </t>
  </si>
  <si>
    <t xml:space="preserve">ATTENTION                            </t>
  </si>
  <si>
    <t xml:space="preserve">CONCEPT FORMATION                    </t>
  </si>
  <si>
    <t xml:space="preserve">LANGUAGE                             </t>
  </si>
  <si>
    <t xml:space="preserve">NONVERBAL PROCESSING AND PRAXIS      </t>
  </si>
  <si>
    <t xml:space="preserve">LEARNING AND MEMORY                  </t>
  </si>
  <si>
    <t xml:space="preserve">DAILY FUNCTIONING                    </t>
  </si>
  <si>
    <t xml:space="preserve">MOOD AND PSYCHOPATHOLOGY             </t>
  </si>
  <si>
    <t>COGNITIVE FACTOR SCORES</t>
  </si>
  <si>
    <t>End of Report</t>
  </si>
  <si>
    <t xml:space="preserve">            Learning Trials (X, X, X)</t>
  </si>
  <si>
    <t>PAI</t>
  </si>
  <si>
    <t>Personality Assessment Inventory (PAI):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</si>
</sst>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i/>
      <sz val="12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Courier New"/>
      <family val="3"/>
    </font>
    <font>
      <sz val="11"/>
      <name val="Courier New"/>
      <family val="3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theme="1"/>
      <name val="Courier New"/>
      <family val="3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i/>
      <sz val="10"/>
      <color theme="1"/>
      <name val="Arial"/>
      <family val="2"/>
    </font>
    <font>
      <sz val="10"/>
      <color theme="1"/>
      <name val="Calibri"/>
      <family val="2"/>
      <scheme val="minor"/>
    </font>
    <font>
      <i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4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49" fontId="21" fillId="0" borderId="0" applyNumberFormat="0" applyFont="0" applyFill="0" applyBorder="0" applyAlignment="0" applyProtection="0">
      <alignment horizontal="left" vertical="top"/>
    </xf>
  </cellStyleXfs>
  <cellXfs count="77">
    <xf numFmtId="0" fontId="0" fillId="0" borderId="0" xfId="0"/>
    <xf numFmtId="0" fontId="9" fillId="0" borderId="0" xfId="0" applyFont="1" applyBorder="1" applyAlignment="1">
      <alignment horizontal="center"/>
    </xf>
    <xf numFmtId="0" fontId="11" fillId="2" borderId="1" xfId="0" applyFont="1" applyFill="1" applyBorder="1" applyAlignment="1" applyProtection="1">
      <alignment horizontal="center"/>
    </xf>
    <xf numFmtId="0" fontId="12" fillId="2" borderId="1" xfId="0" applyFont="1" applyFill="1" applyBorder="1" applyProtection="1"/>
    <xf numFmtId="0" fontId="12" fillId="0" borderId="1" xfId="0" applyFont="1" applyBorder="1" applyAlignment="1" applyProtection="1">
      <alignment horizontal="right"/>
    </xf>
    <xf numFmtId="0" fontId="13" fillId="3" borderId="1" xfId="0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>
      <alignment horizontal="center"/>
    </xf>
    <xf numFmtId="2" fontId="10" fillId="0" borderId="0" xfId="0" applyNumberFormat="1" applyFont="1" applyFill="1" applyBorder="1" applyAlignment="1" applyProtection="1">
      <alignment horizontal="left"/>
    </xf>
    <xf numFmtId="1" fontId="9" fillId="4" borderId="0" xfId="0" applyNumberFormat="1" applyFont="1" applyFill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5" fillId="0" borderId="0" xfId="0" applyFont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49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0" fillId="0" borderId="0" xfId="0" applyNumberFormat="1" applyFill="1" applyBorder="1"/>
    <xf numFmtId="0" fontId="3" fillId="0" borderId="0" xfId="0" applyNumberFormat="1" applyFont="1" applyFill="1" applyBorder="1" applyAlignment="1">
      <alignment horizontal="justify"/>
    </xf>
    <xf numFmtId="0" fontId="2" fillId="0" borderId="0" xfId="0" applyNumberFormat="1" applyFont="1" applyFill="1" applyBorder="1" applyAlignment="1">
      <alignment horizontal="center" wrapText="1"/>
    </xf>
    <xf numFmtId="0" fontId="3" fillId="0" borderId="0" xfId="0" applyNumberFormat="1" applyFont="1" applyFill="1" applyBorder="1" applyAlignment="1">
      <alignment wrapText="1"/>
    </xf>
    <xf numFmtId="0" fontId="3" fillId="0" borderId="0" xfId="0" applyNumberFormat="1" applyFont="1" applyFill="1" applyBorder="1" applyAlignment="1">
      <alignment horizontal="center" wrapText="1"/>
    </xf>
    <xf numFmtId="0" fontId="3" fillId="0" borderId="0" xfId="0" applyNumberFormat="1" applyFont="1" applyFill="1" applyBorder="1" applyAlignment="1">
      <alignment horizontal="center" vertical="top" wrapText="1"/>
    </xf>
    <xf numFmtId="0" fontId="5" fillId="0" borderId="0" xfId="0" applyNumberFormat="1" applyFont="1" applyFill="1" applyBorder="1" applyAlignment="1">
      <alignment horizontal="center" wrapText="1"/>
    </xf>
    <xf numFmtId="0" fontId="4" fillId="0" borderId="0" xfId="0" applyNumberFormat="1" applyFont="1" applyFill="1" applyBorder="1" applyAlignment="1">
      <alignment horizontal="justify"/>
    </xf>
    <xf numFmtId="0" fontId="6" fillId="0" borderId="0" xfId="0" applyNumberFormat="1" applyFont="1" applyFill="1" applyBorder="1" applyAlignment="1">
      <alignment horizontal="center" wrapText="1"/>
    </xf>
    <xf numFmtId="0" fontId="0" fillId="0" borderId="0" xfId="0" applyNumberFormat="1" applyFill="1" applyBorder="1" applyAlignment="1">
      <alignment wrapText="1"/>
    </xf>
    <xf numFmtId="0" fontId="3" fillId="0" borderId="0" xfId="0" quotePrefix="1" applyNumberFormat="1" applyFont="1" applyFill="1" applyBorder="1" applyAlignment="1">
      <alignment horizontal="center" wrapText="1"/>
    </xf>
    <xf numFmtId="0" fontId="7" fillId="0" borderId="0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center" wrapText="1"/>
    </xf>
    <xf numFmtId="0" fontId="4" fillId="0" borderId="0" xfId="0" applyNumberFormat="1" applyFont="1" applyFill="1" applyBorder="1" applyAlignment="1">
      <alignment horizontal="left" indent="4"/>
    </xf>
    <xf numFmtId="0" fontId="12" fillId="0" borderId="0" xfId="0" applyFont="1" applyBorder="1" applyAlignment="1" applyProtection="1">
      <alignment horizontal="right"/>
    </xf>
    <xf numFmtId="0" fontId="13" fillId="3" borderId="0" xfId="0" applyFont="1" applyFill="1" applyBorder="1" applyAlignment="1" applyProtection="1">
      <alignment horizontal="left"/>
      <protection locked="0"/>
    </xf>
    <xf numFmtId="0" fontId="19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left" wrapText="1"/>
    </xf>
    <xf numFmtId="0" fontId="20" fillId="0" borderId="0" xfId="0" applyNumberFormat="1" applyFont="1" applyFill="1" applyBorder="1" applyAlignment="1">
      <alignment horizontal="justify"/>
    </xf>
    <xf numFmtId="0" fontId="3" fillId="0" borderId="0" xfId="0" applyNumberFormat="1" applyFont="1" applyFill="1" applyBorder="1" applyAlignment="1">
      <alignment horizontal="left"/>
    </xf>
    <xf numFmtId="0" fontId="20" fillId="0" borderId="0" xfId="0" applyNumberFormat="1" applyFont="1" applyFill="1" applyBorder="1" applyAlignment="1">
      <alignment horizontal="left" indent="4"/>
    </xf>
    <xf numFmtId="0" fontId="3" fillId="0" borderId="0" xfId="0" applyNumberFormat="1" applyFont="1" applyFill="1" applyBorder="1" applyAlignment="1">
      <alignment horizontal="left" indent="4"/>
    </xf>
    <xf numFmtId="0" fontId="22" fillId="0" borderId="0" xfId="0" applyNumberFormat="1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/>
    </xf>
    <xf numFmtId="0" fontId="22" fillId="0" borderId="0" xfId="0" applyNumberFormat="1" applyFont="1" applyBorder="1" applyAlignment="1">
      <alignment horizontal="left" vertical="center"/>
    </xf>
    <xf numFmtId="0" fontId="19" fillId="0" borderId="0" xfId="0" applyNumberFormat="1" applyFont="1" applyAlignment="1">
      <alignment horizontal="left" vertical="center"/>
    </xf>
    <xf numFmtId="0" fontId="22" fillId="0" borderId="0" xfId="0" applyFont="1" applyBorder="1" applyAlignment="1">
      <alignment horizontal="center" vertical="center" wrapText="1"/>
    </xf>
    <xf numFmtId="49" fontId="19" fillId="0" borderId="0" xfId="0" applyNumberFormat="1" applyFont="1" applyAlignment="1">
      <alignment horizontal="left" vertical="center"/>
    </xf>
    <xf numFmtId="0" fontId="19" fillId="0" borderId="0" xfId="0" applyFont="1" applyAlignment="1"/>
    <xf numFmtId="4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2" fillId="0" borderId="0" xfId="0" applyNumberFormat="1" applyFont="1" applyBorder="1" applyAlignment="1"/>
    <xf numFmtId="49" fontId="22" fillId="0" borderId="0" xfId="0" applyNumberFormat="1" applyFont="1" applyBorder="1" applyAlignment="1">
      <alignment vertical="center"/>
    </xf>
    <xf numFmtId="49" fontId="22" fillId="0" borderId="0" xfId="0" applyNumberFormat="1" applyFont="1" applyBorder="1" applyAlignment="1">
      <alignment horizontal="left" vertical="center"/>
    </xf>
    <xf numFmtId="0" fontId="23" fillId="0" borderId="0" xfId="0" applyNumberFormat="1" applyFont="1" applyFill="1" applyBorder="1" applyAlignment="1" applyProtection="1"/>
    <xf numFmtId="0" fontId="22" fillId="0" borderId="0" xfId="0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 applyProtection="1">
      <alignment horizontal="center"/>
    </xf>
    <xf numFmtId="1" fontId="22" fillId="0" borderId="0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>
      <alignment horizontal="center"/>
    </xf>
    <xf numFmtId="49" fontId="22" fillId="0" borderId="0" xfId="0" applyNumberFormat="1" applyFont="1" applyBorder="1" applyAlignment="1">
      <alignment horizontal="left"/>
    </xf>
    <xf numFmtId="0" fontId="22" fillId="0" borderId="0" xfId="0" applyFont="1" applyBorder="1" applyAlignment="1">
      <alignment vertical="center"/>
    </xf>
    <xf numFmtId="0" fontId="22" fillId="0" borderId="0" xfId="0" applyFont="1" applyBorder="1" applyAlignment="1">
      <alignment horizontal="left" vertical="center"/>
    </xf>
    <xf numFmtId="0" fontId="18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1" fillId="2" borderId="1" xfId="0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right"/>
      <protection locked="0"/>
    </xf>
    <xf numFmtId="0" fontId="3" fillId="0" borderId="0" xfId="0" applyNumberFormat="1" applyFont="1" applyFill="1" applyBorder="1" applyAlignment="1" applyProtection="1">
      <alignment horizontal="left" indent="15"/>
      <protection locked="0"/>
    </xf>
    <xf numFmtId="0" fontId="2" fillId="0" borderId="0" xfId="0" applyNumberFormat="1" applyFont="1" applyFill="1" applyBorder="1" applyAlignment="1" applyProtection="1">
      <alignment horizontal="left" indent="15"/>
      <protection locked="0"/>
    </xf>
    <xf numFmtId="0" fontId="1" fillId="0" borderId="0" xfId="0" applyNumberFormat="1" applyFont="1" applyFill="1" applyBorder="1" applyAlignment="1" applyProtection="1">
      <alignment horizontal="left" indent="15"/>
      <protection locked="0"/>
    </xf>
    <xf numFmtId="0" fontId="3" fillId="0" borderId="0" xfId="0" applyNumberFormat="1" applyFont="1" applyFill="1" applyBorder="1" applyAlignment="1" applyProtection="1">
      <alignment horizontal="justify"/>
      <protection locked="0"/>
    </xf>
    <xf numFmtId="14" fontId="0" fillId="0" borderId="0" xfId="0" applyNumberFormat="1" applyFill="1" applyBorder="1" applyProtection="1">
      <protection locked="0"/>
    </xf>
    <xf numFmtId="0" fontId="6" fillId="0" borderId="0" xfId="0" applyNumberFormat="1" applyFont="1" applyFill="1" applyBorder="1" applyAlignment="1" applyProtection="1">
      <alignment horizontal="left" wrapText="1"/>
      <protection locked="0"/>
    </xf>
    <xf numFmtId="0" fontId="2" fillId="0" borderId="0" xfId="0" applyNumberFormat="1" applyFont="1" applyFill="1" applyBorder="1" applyAlignment="1" applyProtection="1">
      <alignment horizontal="center" wrapText="1"/>
      <protection locked="0"/>
    </xf>
    <xf numFmtId="0" fontId="2" fillId="0" borderId="0" xfId="0" applyNumberFormat="1" applyFont="1" applyFill="1" applyBorder="1" applyAlignment="1" applyProtection="1">
      <alignment horizontal="center" vertical="top" wrapText="1"/>
      <protection locked="0"/>
    </xf>
    <xf numFmtId="0" fontId="6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NumberFormat="1"/>
    <xf numFmtId="0" fontId="22" fillId="0" borderId="0" xfId="0" applyFont="1" applyFill="1" applyBorder="1" applyAlignment="1">
      <alignment horizontal="left" vertical="center"/>
    </xf>
  </cellXfs>
  <cellStyles count="1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Normal" xfId="0" builtinId="0"/>
    <cellStyle name="Style 1" xfId="15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9524</xdr:rowOff>
    </xdr:from>
    <xdr:to>
      <xdr:col>8</xdr:col>
      <xdr:colOff>76200</xdr:colOff>
      <xdr:row>18</xdr:row>
      <xdr:rowOff>25399</xdr:rowOff>
    </xdr:to>
    <xdr:sp macro="[0]!main" textlink="">
      <xdr:nvSpPr>
        <xdr:cNvPr id="2" name="Rounded Rectangle 1"/>
        <xdr:cNvSpPr/>
      </xdr:nvSpPr>
      <xdr:spPr>
        <a:xfrm>
          <a:off x="180975" y="187324"/>
          <a:ext cx="4670425" cy="3140075"/>
        </a:xfrm>
        <a:prstGeom prst="roundRect">
          <a:avLst/>
        </a:prstGeom>
        <a:ln w="7620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200" b="1" u="sng">
              <a:latin typeface="Calibri" pitchFamily="34" charset="0"/>
            </a:rPr>
            <a:t>IMPORTANT</a:t>
          </a:r>
        </a:p>
        <a:p>
          <a:pPr algn="l"/>
          <a:endParaRPr lang="en-US" sz="1200" b="1">
            <a:latin typeface="Calibri" pitchFamily="34" charset="0"/>
          </a:endParaRPr>
        </a:p>
        <a:p>
          <a:pPr algn="l"/>
          <a:r>
            <a:rPr lang="en-US" sz="1200" b="1">
              <a:latin typeface="Calibri" pitchFamily="34" charset="0"/>
            </a:rPr>
            <a:t>1.  ENABLE MACRO ABOVE</a:t>
          </a:r>
        </a:p>
        <a:p>
          <a:pPr algn="l"/>
          <a:r>
            <a:rPr lang="en-US" sz="1200" b="1">
              <a:latin typeface="Calibri" pitchFamily="34" charset="0"/>
            </a:rPr>
            <a:t>2. If administered,</a:t>
          </a:r>
          <a:r>
            <a:rPr lang="en-US" sz="1200" b="1" baseline="0">
              <a:latin typeface="Calibri" pitchFamily="34" charset="0"/>
            </a:rPr>
            <a:t> en</a:t>
          </a:r>
          <a:r>
            <a:rPr lang="en-US" sz="1200" b="1">
              <a:latin typeface="Calibri" pitchFamily="34" charset="0"/>
            </a:rPr>
            <a:t>ter PAI T</a:t>
          </a:r>
          <a:r>
            <a:rPr lang="en-US" sz="1200" b="1" baseline="0">
              <a:latin typeface="Calibri" pitchFamily="34" charset="0"/>
            </a:rPr>
            <a:t> Scores</a:t>
          </a:r>
          <a:r>
            <a:rPr lang="en-US" sz="1200" b="1">
              <a:latin typeface="Calibri" pitchFamily="34" charset="0"/>
            </a:rPr>
            <a:t>-----------------------&gt;</a:t>
          </a:r>
        </a:p>
        <a:p>
          <a:pPr algn="l"/>
          <a:r>
            <a:rPr lang="en-US" sz="1200" b="1">
              <a:latin typeface="Calibri" pitchFamily="34" charset="0"/>
            </a:rPr>
            <a:t>3. SCORE BATTERY IN CNNS-SP</a:t>
          </a:r>
        </a:p>
        <a:p>
          <a:pPr algn="l"/>
          <a:r>
            <a:rPr lang="en-US" sz="1200" b="1">
              <a:latin typeface="Calibri" pitchFamily="34" charset="0"/>
            </a:rPr>
            <a:t>4. GENERATE REPORT IN CNNS-SP</a:t>
          </a:r>
        </a:p>
        <a:p>
          <a:pPr algn="l"/>
          <a:r>
            <a:rPr lang="en-US" sz="1200" b="1">
              <a:latin typeface="Calibri" pitchFamily="34" charset="0"/>
            </a:rPr>
            <a:t>5. FROM CNNS GENERATED REPORT, SELECT</a:t>
          </a:r>
          <a:r>
            <a:rPr lang="en-US" sz="1200" b="1" baseline="0">
              <a:latin typeface="Calibri" pitchFamily="34" charset="0"/>
            </a:rPr>
            <a:t> AND COPY REPORT OUTPUT </a:t>
          </a:r>
          <a:endParaRPr lang="en-US" sz="1200" b="1" u="sng" baseline="0">
            <a:latin typeface="Calibri" pitchFamily="34" charset="0"/>
          </a:endParaRPr>
        </a:p>
        <a:p>
          <a:pPr algn="l"/>
          <a:r>
            <a:rPr lang="en-US" sz="1200" b="1" u="none" baseline="0">
              <a:latin typeface="Calibri" pitchFamily="34" charset="0"/>
            </a:rPr>
            <a:t>	-Use Ctrl-A then Ctrl-C</a:t>
          </a:r>
        </a:p>
        <a:p>
          <a:pPr algn="l"/>
          <a:r>
            <a:rPr lang="en-US" sz="1200" b="1" u="none" baseline="0">
              <a:latin typeface="Calibri" pitchFamily="34" charset="0"/>
            </a:rPr>
            <a:t>	-This places data into clipboard</a:t>
          </a:r>
        </a:p>
        <a:p>
          <a:pPr algn="l"/>
          <a:endParaRPr lang="en-US" sz="1200" b="1" baseline="0">
            <a:latin typeface="Calibri" pitchFamily="34" charset="0"/>
          </a:endParaRPr>
        </a:p>
        <a:p>
          <a:pPr algn="l"/>
          <a:r>
            <a:rPr lang="en-US" sz="1200" b="1" baseline="0">
              <a:latin typeface="Calibri" pitchFamily="34" charset="0"/>
            </a:rPr>
            <a:t>6. PRESS THIS BUTTON</a:t>
          </a:r>
        </a:p>
        <a:p>
          <a:pPr algn="l"/>
          <a:r>
            <a:rPr lang="en-US" sz="1200" b="1" baseline="0">
              <a:latin typeface="Calibri" pitchFamily="34" charset="0"/>
            </a:rPr>
            <a:t>7. THE DATA TABLE WILL PASTED INTO NOTEPAD.</a:t>
          </a:r>
        </a:p>
        <a:p>
          <a:pPr algn="l"/>
          <a:r>
            <a:rPr lang="en-US" sz="1200" b="1" u="none" baseline="0">
              <a:latin typeface="Calibri" pitchFamily="34" charset="0"/>
            </a:rPr>
            <a:t>8. Copy and paste the output into your report.</a:t>
          </a:r>
          <a:endParaRPr lang="en-US" sz="1200" b="1" u="none">
            <a:latin typeface="Calibri" pitchFamily="34" charset="0"/>
          </a:endParaRPr>
        </a:p>
      </xdr:txBody>
    </xdr:sp>
    <xdr:clientData/>
  </xdr:twoCellAnchor>
  <xdr:twoCellAnchor>
    <xdr:from>
      <xdr:col>0</xdr:col>
      <xdr:colOff>117474</xdr:colOff>
      <xdr:row>19</xdr:row>
      <xdr:rowOff>101601</xdr:rowOff>
    </xdr:from>
    <xdr:to>
      <xdr:col>8</xdr:col>
      <xdr:colOff>203199</xdr:colOff>
      <xdr:row>29</xdr:row>
      <xdr:rowOff>85726</xdr:rowOff>
    </xdr:to>
    <xdr:sp macro="[0]!test" textlink="">
      <xdr:nvSpPr>
        <xdr:cNvPr id="3" name="Rounded Rectangle 2"/>
        <xdr:cNvSpPr/>
      </xdr:nvSpPr>
      <xdr:spPr>
        <a:xfrm>
          <a:off x="117474" y="3594101"/>
          <a:ext cx="4860925" cy="1787525"/>
        </a:xfrm>
        <a:prstGeom prst="roundRect">
          <a:avLst/>
        </a:prstGeom>
        <a:solidFill>
          <a:schemeClr val="accent6">
            <a:lumMod val="75000"/>
          </a:schemeClr>
        </a:solidFill>
        <a:ln w="7620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en-US" sz="1800" b="1" u="sng">
              <a:latin typeface="Calibri" pitchFamily="34" charset="0"/>
            </a:rPr>
            <a:t>PRESS</a:t>
          </a:r>
          <a:r>
            <a:rPr lang="en-US" sz="1800" b="1" u="sng" baseline="0">
              <a:latin typeface="Calibri" pitchFamily="34" charset="0"/>
            </a:rPr>
            <a:t> HERE WHEN FINISHED</a:t>
          </a:r>
          <a:endParaRPr lang="en-US" sz="1800" b="1" u="sng">
            <a:latin typeface="Calibri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246"/>
  <sheetViews>
    <sheetView showGridLines="0" showRowColHeaders="0" tabSelected="1" workbookViewId="0">
      <selection activeCell="E38" sqref="E38"/>
    </sheetView>
  </sheetViews>
  <sheetFormatPr baseColWidth="10" defaultColWidth="8.83203125" defaultRowHeight="14" x14ac:dyDescent="0"/>
  <cols>
    <col min="1" max="1" width="7.83203125" style="31" customWidth="1"/>
    <col min="2" max="8" width="7.83203125" style="15" customWidth="1"/>
    <col min="9" max="16384" width="8.83203125" style="15"/>
  </cols>
  <sheetData>
    <row r="1" spans="1:11">
      <c r="A1" s="60"/>
      <c r="B1" s="61"/>
      <c r="C1" s="61"/>
      <c r="D1" s="61"/>
      <c r="E1" s="61"/>
      <c r="F1" s="61"/>
      <c r="G1" s="61"/>
      <c r="H1" s="61"/>
      <c r="I1" s="61"/>
      <c r="J1" s="61"/>
    </row>
    <row r="2" spans="1:11">
      <c r="A2" s="60"/>
      <c r="B2" s="61"/>
      <c r="C2" s="61"/>
      <c r="D2" s="61"/>
      <c r="E2" s="61"/>
      <c r="F2" s="61"/>
      <c r="G2" s="61"/>
      <c r="H2" s="61"/>
      <c r="I2" s="61"/>
      <c r="J2" s="61" t="s">
        <v>155</v>
      </c>
    </row>
    <row r="3" spans="1:11">
      <c r="A3" s="62"/>
      <c r="B3" s="61"/>
      <c r="C3" s="61"/>
      <c r="D3" s="61"/>
      <c r="E3" s="61"/>
      <c r="F3" s="61"/>
      <c r="G3" s="61"/>
      <c r="H3" s="61"/>
      <c r="I3" s="61"/>
      <c r="J3" s="63"/>
      <c r="K3" s="3" t="s">
        <v>10</v>
      </c>
    </row>
    <row r="4" spans="1:11">
      <c r="A4" s="64"/>
      <c r="B4" s="61"/>
      <c r="C4" s="61"/>
      <c r="D4" s="61"/>
      <c r="E4" s="61"/>
      <c r="F4" s="61"/>
      <c r="G4" s="61"/>
      <c r="H4" s="61"/>
      <c r="I4" s="61"/>
      <c r="J4" s="65" t="s">
        <v>11</v>
      </c>
      <c r="K4" s="5"/>
    </row>
    <row r="5" spans="1:11">
      <c r="A5" s="64"/>
      <c r="B5" s="61"/>
      <c r="C5" s="61"/>
      <c r="D5" s="61"/>
      <c r="E5" s="61"/>
      <c r="F5" s="61"/>
      <c r="G5" s="61"/>
      <c r="H5" s="61"/>
      <c r="I5" s="61"/>
      <c r="J5" s="65" t="s">
        <v>12</v>
      </c>
      <c r="K5" s="5"/>
    </row>
    <row r="6" spans="1:11">
      <c r="A6" s="64"/>
      <c r="B6" s="61"/>
      <c r="C6" s="61"/>
      <c r="D6" s="61"/>
      <c r="E6" s="61"/>
      <c r="F6" s="61"/>
      <c r="G6" s="61"/>
      <c r="H6" s="61"/>
      <c r="I6" s="61"/>
      <c r="J6" s="65" t="s">
        <v>13</v>
      </c>
      <c r="K6" s="5"/>
    </row>
    <row r="7" spans="1:11">
      <c r="A7" s="64"/>
      <c r="B7" s="61"/>
      <c r="C7" s="61"/>
      <c r="D7" s="61"/>
      <c r="E7" s="61"/>
      <c r="F7" s="61"/>
      <c r="G7" s="61"/>
      <c r="H7" s="61"/>
      <c r="I7" s="61"/>
      <c r="J7" s="65" t="s">
        <v>14</v>
      </c>
      <c r="K7" s="5"/>
    </row>
    <row r="8" spans="1:11">
      <c r="A8" s="64"/>
      <c r="B8" s="61"/>
      <c r="C8" s="61"/>
      <c r="D8" s="61"/>
      <c r="E8" s="61"/>
      <c r="F8" s="61"/>
      <c r="G8" s="61"/>
      <c r="H8" s="61"/>
      <c r="I8" s="61"/>
      <c r="J8" s="65" t="s">
        <v>15</v>
      </c>
      <c r="K8" s="5"/>
    </row>
    <row r="9" spans="1:11">
      <c r="A9" s="64"/>
      <c r="B9" s="61"/>
      <c r="C9" s="61"/>
      <c r="D9" s="61"/>
      <c r="E9" s="61"/>
      <c r="F9" s="61"/>
      <c r="G9" s="61"/>
      <c r="H9" s="61"/>
      <c r="I9" s="61"/>
      <c r="J9" s="65" t="s">
        <v>16</v>
      </c>
      <c r="K9" s="5"/>
    </row>
    <row r="10" spans="1:11">
      <c r="A10" s="66"/>
      <c r="B10" s="61"/>
      <c r="C10" s="61"/>
      <c r="D10" s="61"/>
      <c r="E10" s="61"/>
      <c r="F10" s="61"/>
      <c r="G10" s="61"/>
      <c r="H10" s="61"/>
      <c r="I10" s="61"/>
      <c r="J10" s="65" t="s">
        <v>17</v>
      </c>
      <c r="K10" s="5"/>
    </row>
    <row r="11" spans="1:11" ht="15">
      <c r="A11" s="62"/>
      <c r="B11" s="67"/>
      <c r="C11" s="68"/>
      <c r="D11" s="61"/>
      <c r="E11" s="61"/>
      <c r="F11" s="61"/>
      <c r="G11" s="61"/>
      <c r="H11" s="61"/>
      <c r="I11" s="61"/>
      <c r="J11" s="65" t="s">
        <v>18</v>
      </c>
      <c r="K11" s="5"/>
    </row>
    <row r="12" spans="1:11" ht="15">
      <c r="A12" s="62"/>
      <c r="B12" s="67"/>
      <c r="C12" s="61"/>
      <c r="D12" s="61"/>
      <c r="E12" s="61"/>
      <c r="F12" s="61"/>
      <c r="G12" s="61"/>
      <c r="H12" s="61"/>
      <c r="I12" s="61"/>
      <c r="J12" s="65" t="s">
        <v>19</v>
      </c>
      <c r="K12" s="5"/>
    </row>
    <row r="13" spans="1:11" ht="15">
      <c r="A13" s="62"/>
      <c r="B13" s="67"/>
      <c r="C13" s="68"/>
      <c r="D13" s="61"/>
      <c r="E13" s="61"/>
      <c r="F13" s="61"/>
      <c r="G13" s="61"/>
      <c r="H13" s="61"/>
      <c r="I13" s="61"/>
      <c r="J13" s="65" t="s">
        <v>20</v>
      </c>
      <c r="K13" s="5"/>
    </row>
    <row r="14" spans="1:11" ht="15">
      <c r="A14" s="62"/>
      <c r="B14" s="67"/>
      <c r="C14" s="68"/>
      <c r="D14" s="61"/>
      <c r="E14" s="61"/>
      <c r="F14" s="61"/>
      <c r="G14" s="61"/>
      <c r="H14" s="61"/>
      <c r="I14" s="61"/>
      <c r="J14" s="65" t="s">
        <v>21</v>
      </c>
      <c r="K14" s="5"/>
    </row>
    <row r="15" spans="1:11" ht="15">
      <c r="A15" s="62"/>
      <c r="B15" s="67"/>
      <c r="C15" s="68"/>
      <c r="D15" s="61"/>
      <c r="E15" s="61"/>
      <c r="F15" s="61"/>
      <c r="G15" s="61"/>
      <c r="H15" s="61"/>
      <c r="I15" s="61"/>
      <c r="J15" s="65" t="s">
        <v>22</v>
      </c>
      <c r="K15" s="5"/>
    </row>
    <row r="16" spans="1:11" ht="15">
      <c r="A16" s="62"/>
      <c r="B16" s="67"/>
      <c r="C16" s="68"/>
      <c r="D16" s="61"/>
      <c r="E16" s="61"/>
      <c r="F16" s="61"/>
      <c r="G16" s="61"/>
      <c r="H16" s="61"/>
      <c r="I16" s="61"/>
      <c r="J16" s="65" t="s">
        <v>23</v>
      </c>
      <c r="K16" s="5"/>
    </row>
    <row r="17" spans="1:11" ht="15">
      <c r="A17" s="62"/>
      <c r="B17" s="67"/>
      <c r="C17" s="68"/>
      <c r="D17" s="61"/>
      <c r="E17" s="61"/>
      <c r="F17" s="61"/>
      <c r="G17" s="61"/>
      <c r="H17" s="61"/>
      <c r="I17" s="61"/>
      <c r="J17" s="65" t="s">
        <v>24</v>
      </c>
      <c r="K17" s="5"/>
    </row>
    <row r="18" spans="1:11" ht="15">
      <c r="A18" s="62"/>
      <c r="B18" s="67"/>
      <c r="C18" s="68"/>
      <c r="D18" s="61"/>
      <c r="E18" s="61"/>
      <c r="F18" s="61"/>
      <c r="G18" s="61"/>
      <c r="H18" s="61"/>
      <c r="I18" s="61"/>
      <c r="J18" s="65" t="s">
        <v>25</v>
      </c>
      <c r="K18" s="5"/>
    </row>
    <row r="19" spans="1:11" ht="15">
      <c r="A19" s="62"/>
      <c r="B19" s="67"/>
      <c r="C19" s="68"/>
      <c r="D19" s="61"/>
      <c r="E19" s="61"/>
      <c r="F19" s="61"/>
      <c r="G19" s="61"/>
      <c r="H19" s="61"/>
      <c r="I19" s="61"/>
      <c r="J19" s="65" t="s">
        <v>26</v>
      </c>
      <c r="K19" s="5"/>
    </row>
    <row r="20" spans="1:11">
      <c r="A20" s="66"/>
      <c r="B20" s="61"/>
      <c r="C20" s="61"/>
      <c r="D20" s="61"/>
      <c r="E20" s="61"/>
      <c r="F20" s="61"/>
      <c r="G20" s="61"/>
      <c r="H20" s="61"/>
      <c r="I20" s="61"/>
      <c r="J20" s="65" t="s">
        <v>27</v>
      </c>
      <c r="K20" s="5"/>
    </row>
    <row r="21" spans="1:11">
      <c r="A21" s="69"/>
      <c r="B21" s="61"/>
      <c r="C21" s="61"/>
      <c r="D21" s="61"/>
      <c r="E21" s="61"/>
      <c r="F21" s="61"/>
      <c r="G21" s="61"/>
      <c r="H21" s="61"/>
      <c r="I21" s="61"/>
      <c r="J21" s="65" t="s">
        <v>28</v>
      </c>
      <c r="K21" s="5"/>
    </row>
    <row r="22" spans="1:11">
      <c r="A22" s="69"/>
      <c r="B22" s="61"/>
      <c r="C22" s="70"/>
      <c r="D22" s="61"/>
      <c r="E22" s="61"/>
      <c r="F22" s="61"/>
      <c r="G22" s="61"/>
      <c r="H22" s="61"/>
      <c r="I22" s="61"/>
      <c r="J22" s="65" t="s">
        <v>29</v>
      </c>
      <c r="K22" s="5"/>
    </row>
    <row r="23" spans="1:11">
      <c r="A23" s="69"/>
      <c r="B23" s="61"/>
      <c r="C23" s="61"/>
      <c r="D23" s="61"/>
      <c r="E23" s="61"/>
      <c r="F23" s="61"/>
      <c r="G23" s="61"/>
      <c r="H23" s="61"/>
      <c r="I23" s="61"/>
      <c r="J23" s="65" t="s">
        <v>30</v>
      </c>
      <c r="K23" s="5"/>
    </row>
    <row r="24" spans="1:11">
      <c r="A24" s="69"/>
      <c r="B24" s="61"/>
      <c r="C24" s="61"/>
      <c r="D24" s="61"/>
      <c r="E24" s="61"/>
      <c r="F24" s="61"/>
      <c r="G24" s="61"/>
      <c r="H24" s="61"/>
      <c r="I24" s="61"/>
      <c r="J24" s="65" t="s">
        <v>31</v>
      </c>
      <c r="K24" s="5"/>
    </row>
    <row r="25" spans="1:11">
      <c r="A25" s="62"/>
      <c r="B25" s="61"/>
      <c r="C25" s="61"/>
      <c r="D25" s="61"/>
      <c r="E25" s="61"/>
      <c r="F25" s="61"/>
      <c r="G25" s="61"/>
      <c r="H25" s="61"/>
      <c r="I25" s="61"/>
      <c r="J25" s="65" t="s">
        <v>32</v>
      </c>
      <c r="K25" s="5"/>
    </row>
    <row r="26" spans="1:11">
      <c r="A26" s="64"/>
      <c r="B26" s="61"/>
      <c r="C26" s="70"/>
      <c r="D26" s="61"/>
      <c r="E26" s="61"/>
      <c r="F26" s="61"/>
      <c r="G26" s="61"/>
      <c r="H26" s="61"/>
      <c r="I26" s="61"/>
      <c r="J26" s="61"/>
    </row>
    <row r="27" spans="1:11" ht="15">
      <c r="A27" s="71"/>
      <c r="B27" s="72"/>
      <c r="C27" s="73"/>
      <c r="D27" s="72"/>
      <c r="E27" s="61"/>
      <c r="F27" s="61"/>
      <c r="G27" s="61"/>
      <c r="H27" s="61"/>
      <c r="I27" s="61"/>
      <c r="J27" s="61"/>
    </row>
    <row r="28" spans="1:11" ht="15">
      <c r="A28" s="71"/>
      <c r="B28" s="72"/>
      <c r="C28" s="74"/>
      <c r="D28" s="72"/>
      <c r="E28" s="61"/>
      <c r="F28" s="61"/>
      <c r="G28" s="61"/>
      <c r="H28" s="61"/>
      <c r="I28" s="61"/>
      <c r="J28" s="61"/>
    </row>
    <row r="29" spans="1:11">
      <c r="A29" s="18"/>
      <c r="B29" s="19"/>
      <c r="C29" s="20"/>
      <c r="D29" s="19"/>
    </row>
    <row r="30" spans="1:11">
      <c r="A30" s="34"/>
    </row>
    <row r="31" spans="1:11">
      <c r="A31" s="32"/>
    </row>
    <row r="32" spans="1:11" ht="30.75" customHeight="1">
      <c r="A32" s="33"/>
      <c r="B32" s="17"/>
      <c r="C32" s="17"/>
      <c r="D32" s="21"/>
      <c r="E32" s="17"/>
      <c r="F32" s="17"/>
    </row>
    <row r="33" spans="1:6" ht="15">
      <c r="A33" s="33"/>
      <c r="B33" s="17"/>
      <c r="C33" s="17"/>
      <c r="D33" s="17"/>
      <c r="E33" s="17"/>
      <c r="F33" s="17"/>
    </row>
    <row r="34" spans="1:6">
      <c r="A34" s="18"/>
      <c r="B34" s="19"/>
      <c r="C34" s="19"/>
      <c r="D34" s="19"/>
      <c r="E34" s="19"/>
      <c r="F34" s="19"/>
    </row>
    <row r="35" spans="1:6">
      <c r="A35" s="18"/>
      <c r="B35" s="19"/>
      <c r="C35" s="19"/>
      <c r="D35" s="19"/>
      <c r="E35" s="19"/>
      <c r="F35" s="19"/>
    </row>
    <row r="36" spans="1:6">
      <c r="A36" s="16"/>
    </row>
    <row r="37" spans="1:6" ht="30.75" customHeight="1">
      <c r="A37" s="33"/>
      <c r="B37" s="17"/>
      <c r="C37" s="17"/>
      <c r="D37" s="21"/>
      <c r="E37" s="17"/>
      <c r="F37" s="17"/>
    </row>
    <row r="38" spans="1:6" ht="15">
      <c r="A38" s="33"/>
      <c r="B38" s="17"/>
      <c r="C38" s="17"/>
      <c r="D38" s="17"/>
      <c r="E38" s="17"/>
      <c r="F38" s="17"/>
    </row>
    <row r="39" spans="1:6">
      <c r="A39" s="18"/>
      <c r="B39" s="19"/>
      <c r="C39" s="19"/>
      <c r="D39" s="19"/>
      <c r="E39" s="19"/>
      <c r="F39" s="19"/>
    </row>
    <row r="40" spans="1:6">
      <c r="A40" s="18"/>
      <c r="B40" s="19"/>
      <c r="C40" s="19"/>
      <c r="D40" s="19"/>
      <c r="E40" s="19"/>
      <c r="F40" s="19"/>
    </row>
    <row r="41" spans="1:6">
      <c r="A41" s="18"/>
      <c r="B41" s="19"/>
      <c r="C41" s="19"/>
      <c r="D41" s="19"/>
      <c r="E41" s="19"/>
      <c r="F41" s="19"/>
    </row>
    <row r="42" spans="1:6">
      <c r="A42" s="18"/>
      <c r="B42" s="19"/>
      <c r="C42" s="19"/>
      <c r="D42" s="19"/>
      <c r="E42" s="19"/>
      <c r="F42" s="19"/>
    </row>
    <row r="43" spans="1:6">
      <c r="A43" s="18"/>
      <c r="B43" s="19"/>
      <c r="C43" s="19"/>
      <c r="D43" s="19"/>
      <c r="E43" s="19"/>
      <c r="F43" s="19"/>
    </row>
    <row r="44" spans="1:6">
      <c r="A44" s="18"/>
      <c r="B44" s="19"/>
      <c r="C44" s="19"/>
      <c r="D44" s="19"/>
      <c r="E44" s="19"/>
      <c r="F44" s="19"/>
    </row>
    <row r="45" spans="1:6">
      <c r="A45" s="18"/>
      <c r="B45" s="19"/>
      <c r="C45" s="19"/>
      <c r="D45" s="19"/>
      <c r="E45" s="19"/>
      <c r="F45" s="19"/>
    </row>
    <row r="46" spans="1:6">
      <c r="A46" s="18"/>
      <c r="B46" s="19"/>
      <c r="C46" s="19"/>
      <c r="D46" s="19"/>
      <c r="E46" s="19"/>
      <c r="F46" s="19"/>
    </row>
    <row r="47" spans="1:6">
      <c r="A47" s="18"/>
      <c r="B47" s="19"/>
      <c r="C47" s="19"/>
      <c r="D47" s="19"/>
      <c r="E47" s="19"/>
      <c r="F47" s="19"/>
    </row>
    <row r="48" spans="1:6">
      <c r="A48" s="18"/>
      <c r="B48" s="19"/>
      <c r="C48" s="19"/>
      <c r="D48" s="19"/>
      <c r="E48" s="19"/>
      <c r="F48" s="19"/>
    </row>
    <row r="49" spans="1:6">
      <c r="A49" s="16"/>
    </row>
    <row r="51" spans="1:6">
      <c r="A51" s="16"/>
    </row>
    <row r="52" spans="1:6" ht="30.75" customHeight="1">
      <c r="A52" s="33"/>
      <c r="B52" s="17"/>
      <c r="C52" s="17"/>
      <c r="D52" s="21"/>
      <c r="E52" s="17"/>
      <c r="F52" s="17"/>
    </row>
    <row r="53" spans="1:6" ht="15">
      <c r="A53" s="33"/>
      <c r="B53" s="17"/>
      <c r="C53" s="17"/>
      <c r="D53" s="17"/>
      <c r="E53" s="17"/>
      <c r="F53" s="17"/>
    </row>
    <row r="54" spans="1:6">
      <c r="A54" s="18"/>
      <c r="B54" s="19"/>
      <c r="C54" s="19"/>
      <c r="D54" s="19"/>
      <c r="E54" s="19"/>
      <c r="F54" s="19"/>
    </row>
    <row r="55" spans="1:6">
      <c r="A55" s="18"/>
      <c r="B55" s="19"/>
      <c r="C55" s="19"/>
      <c r="D55" s="19"/>
      <c r="E55" s="19"/>
      <c r="F55" s="19"/>
    </row>
    <row r="56" spans="1:6">
      <c r="A56" s="18"/>
      <c r="B56" s="19"/>
      <c r="C56" s="19"/>
      <c r="D56" s="19"/>
      <c r="E56" s="19"/>
      <c r="F56" s="19"/>
    </row>
    <row r="57" spans="1:6">
      <c r="A57" s="18"/>
      <c r="B57" s="19"/>
      <c r="C57" s="19"/>
      <c r="D57" s="19"/>
      <c r="E57" s="19"/>
      <c r="F57" s="19"/>
    </row>
    <row r="58" spans="1:6">
      <c r="A58" s="18"/>
      <c r="B58" s="19"/>
      <c r="C58" s="19"/>
      <c r="D58" s="19"/>
      <c r="E58" s="19"/>
      <c r="F58" s="19"/>
    </row>
    <row r="59" spans="1:6">
      <c r="A59" s="16"/>
    </row>
    <row r="60" spans="1:6" ht="30.75" customHeight="1">
      <c r="A60" s="33"/>
      <c r="B60" s="17"/>
      <c r="C60" s="17"/>
      <c r="D60" s="21"/>
      <c r="E60" s="17"/>
      <c r="F60" s="17"/>
    </row>
    <row r="61" spans="1:6" ht="15">
      <c r="A61" s="33"/>
      <c r="B61" s="17"/>
      <c r="C61" s="17"/>
      <c r="D61" s="17"/>
      <c r="E61" s="17"/>
      <c r="F61" s="17"/>
    </row>
    <row r="62" spans="1:6">
      <c r="A62" s="18"/>
      <c r="B62" s="19"/>
      <c r="C62" s="19"/>
      <c r="D62" s="19"/>
      <c r="E62" s="19"/>
      <c r="F62" s="19"/>
    </row>
    <row r="63" spans="1:6">
      <c r="A63" s="18"/>
      <c r="B63" s="19"/>
      <c r="C63" s="19"/>
      <c r="D63" s="19"/>
      <c r="E63" s="19"/>
      <c r="F63" s="19"/>
    </row>
    <row r="64" spans="1:6">
      <c r="A64" s="18"/>
      <c r="B64" s="19"/>
      <c r="C64" s="19"/>
      <c r="D64" s="19"/>
      <c r="E64" s="19"/>
      <c r="F64" s="19"/>
    </row>
    <row r="65" spans="1:6">
      <c r="A65" s="18"/>
      <c r="B65" s="19"/>
      <c r="C65" s="19"/>
      <c r="D65" s="19"/>
      <c r="E65" s="19"/>
      <c r="F65" s="19"/>
    </row>
    <row r="66" spans="1:6">
      <c r="A66" s="18"/>
      <c r="B66" s="19"/>
      <c r="C66" s="19"/>
      <c r="D66" s="19"/>
      <c r="E66" s="19"/>
      <c r="F66" s="19"/>
    </row>
    <row r="67" spans="1:6">
      <c r="A67" s="18"/>
      <c r="B67" s="19"/>
      <c r="C67" s="19"/>
      <c r="D67" s="19"/>
      <c r="E67" s="19"/>
      <c r="F67" s="19"/>
    </row>
    <row r="68" spans="1:6">
      <c r="A68" s="18"/>
      <c r="B68" s="19"/>
      <c r="C68" s="19"/>
      <c r="D68" s="19"/>
      <c r="E68" s="19"/>
      <c r="F68" s="19"/>
    </row>
    <row r="69" spans="1:6">
      <c r="A69" s="18"/>
      <c r="B69" s="19"/>
      <c r="C69" s="19"/>
      <c r="D69" s="19"/>
      <c r="E69" s="19"/>
      <c r="F69" s="19"/>
    </row>
    <row r="70" spans="1:6">
      <c r="A70" s="16"/>
    </row>
    <row r="71" spans="1:6" ht="30.75" customHeight="1">
      <c r="A71" s="33"/>
      <c r="B71" s="17"/>
      <c r="C71" s="17"/>
      <c r="D71" s="21"/>
      <c r="E71" s="17"/>
      <c r="F71" s="17"/>
    </row>
    <row r="72" spans="1:6" ht="15">
      <c r="A72" s="33"/>
      <c r="B72" s="17"/>
      <c r="C72" s="17"/>
      <c r="D72" s="17"/>
      <c r="E72" s="17"/>
      <c r="F72" s="17"/>
    </row>
    <row r="73" spans="1:6">
      <c r="A73" s="18"/>
      <c r="B73" s="19"/>
      <c r="C73" s="19"/>
      <c r="D73" s="19"/>
      <c r="E73" s="19"/>
      <c r="F73" s="19"/>
    </row>
    <row r="74" spans="1:6">
      <c r="A74" s="18"/>
      <c r="B74" s="19"/>
      <c r="C74" s="19"/>
      <c r="D74" s="19"/>
      <c r="E74" s="19"/>
      <c r="F74" s="19"/>
    </row>
    <row r="75" spans="1:6">
      <c r="A75" s="18"/>
      <c r="B75" s="19"/>
      <c r="C75" s="19"/>
      <c r="D75" s="19"/>
      <c r="E75" s="19"/>
      <c r="F75" s="19"/>
    </row>
    <row r="76" spans="1:6">
      <c r="A76" s="18"/>
      <c r="B76" s="19"/>
      <c r="C76" s="19"/>
      <c r="D76" s="19"/>
      <c r="E76" s="19"/>
      <c r="F76" s="19"/>
    </row>
    <row r="77" spans="1:6">
      <c r="A77" s="18"/>
      <c r="B77" s="19"/>
      <c r="C77" s="19"/>
      <c r="D77" s="19"/>
      <c r="E77" s="19"/>
      <c r="F77" s="19"/>
    </row>
    <row r="78" spans="1:6">
      <c r="A78" s="16"/>
    </row>
    <row r="80" spans="1:6">
      <c r="A80" s="16"/>
    </row>
    <row r="81" spans="1:6" ht="30.75" customHeight="1">
      <c r="A81" s="33"/>
      <c r="B81" s="17"/>
      <c r="C81" s="17"/>
      <c r="D81" s="21"/>
      <c r="E81" s="17"/>
      <c r="F81" s="17"/>
    </row>
    <row r="82" spans="1:6" ht="15">
      <c r="A82" s="33"/>
      <c r="B82" s="17"/>
      <c r="C82" s="17"/>
      <c r="D82" s="17"/>
      <c r="E82" s="17"/>
      <c r="F82" s="17"/>
    </row>
    <row r="83" spans="1:6">
      <c r="A83" s="18"/>
      <c r="B83" s="19"/>
      <c r="C83" s="19"/>
      <c r="D83" s="19"/>
      <c r="E83" s="19"/>
      <c r="F83" s="19"/>
    </row>
    <row r="84" spans="1:6">
      <c r="A84" s="18"/>
      <c r="B84" s="19"/>
      <c r="C84" s="19"/>
      <c r="D84" s="19"/>
      <c r="E84" s="19"/>
      <c r="F84" s="19"/>
    </row>
    <row r="85" spans="1:6">
      <c r="A85" s="18"/>
      <c r="B85" s="19"/>
      <c r="C85" s="19"/>
      <c r="D85" s="19"/>
      <c r="E85" s="19"/>
      <c r="F85" s="19"/>
    </row>
    <row r="86" spans="1:6">
      <c r="A86" s="18"/>
      <c r="B86" s="19"/>
      <c r="C86" s="19"/>
      <c r="D86" s="19"/>
      <c r="E86" s="19"/>
      <c r="F86" s="19"/>
    </row>
    <row r="87" spans="1:6">
      <c r="A87" s="18"/>
      <c r="B87" s="19"/>
      <c r="C87" s="19"/>
      <c r="D87" s="19"/>
      <c r="E87" s="19"/>
      <c r="F87" s="19"/>
    </row>
    <row r="88" spans="1:6">
      <c r="A88" s="18"/>
      <c r="B88" s="19"/>
      <c r="C88" s="19"/>
      <c r="D88" s="19"/>
      <c r="E88" s="19"/>
      <c r="F88" s="19"/>
    </row>
    <row r="89" spans="1:6">
      <c r="A89" s="16"/>
    </row>
    <row r="90" spans="1:6" ht="30.75" customHeight="1">
      <c r="A90" s="33"/>
      <c r="B90" s="17"/>
      <c r="C90" s="17"/>
      <c r="D90" s="21"/>
      <c r="E90" s="17"/>
      <c r="F90" s="17"/>
    </row>
    <row r="91" spans="1:6" ht="15">
      <c r="A91" s="33"/>
      <c r="B91" s="17"/>
      <c r="C91" s="17"/>
      <c r="D91" s="17"/>
      <c r="E91" s="17"/>
      <c r="F91" s="17"/>
    </row>
    <row r="92" spans="1:6">
      <c r="A92" s="18"/>
      <c r="B92" s="19"/>
      <c r="C92" s="19"/>
      <c r="D92" s="19"/>
      <c r="E92" s="19"/>
      <c r="F92" s="19"/>
    </row>
    <row r="93" spans="1:6">
      <c r="A93" s="18"/>
      <c r="B93" s="19"/>
      <c r="C93" s="19"/>
      <c r="D93" s="19"/>
      <c r="E93" s="19"/>
      <c r="F93" s="19"/>
    </row>
    <row r="94" spans="1:6">
      <c r="A94" s="18"/>
      <c r="B94" s="19"/>
      <c r="C94" s="19"/>
      <c r="D94" s="19"/>
      <c r="E94" s="19"/>
      <c r="F94" s="19"/>
    </row>
    <row r="95" spans="1:6">
      <c r="A95" s="18"/>
      <c r="B95" s="19"/>
      <c r="C95" s="19"/>
      <c r="D95" s="19"/>
      <c r="E95" s="19"/>
      <c r="F95" s="19"/>
    </row>
    <row r="96" spans="1:6">
      <c r="A96" s="18"/>
      <c r="B96" s="19"/>
      <c r="C96" s="19"/>
      <c r="D96" s="19"/>
      <c r="E96" s="19"/>
      <c r="F96" s="19"/>
    </row>
    <row r="97" spans="1:6">
      <c r="A97" s="18"/>
      <c r="B97" s="19"/>
      <c r="C97" s="19"/>
      <c r="D97" s="19"/>
      <c r="E97" s="19"/>
      <c r="F97" s="19"/>
    </row>
    <row r="98" spans="1:6">
      <c r="A98" s="18"/>
      <c r="B98" s="19"/>
      <c r="C98" s="19"/>
      <c r="D98" s="19"/>
      <c r="E98" s="19"/>
      <c r="F98" s="19"/>
    </row>
    <row r="99" spans="1:6">
      <c r="A99" s="18"/>
      <c r="B99" s="19"/>
      <c r="C99" s="19"/>
      <c r="D99" s="19"/>
      <c r="E99" s="19"/>
      <c r="F99" s="19"/>
    </row>
    <row r="100" spans="1:6">
      <c r="A100" s="16"/>
    </row>
    <row r="102" spans="1:6">
      <c r="A102" s="16"/>
    </row>
    <row r="103" spans="1:6" ht="30.75" customHeight="1">
      <c r="A103" s="33"/>
      <c r="B103" s="17"/>
      <c r="C103" s="17"/>
      <c r="D103" s="21"/>
      <c r="E103" s="17"/>
      <c r="F103" s="17"/>
    </row>
    <row r="104" spans="1:6" ht="15">
      <c r="A104" s="33"/>
      <c r="B104" s="17"/>
      <c r="C104" s="17"/>
      <c r="D104" s="17"/>
      <c r="E104" s="17"/>
      <c r="F104" s="17"/>
    </row>
    <row r="105" spans="1:6">
      <c r="A105" s="18"/>
      <c r="B105" s="19"/>
      <c r="C105" s="19"/>
      <c r="D105" s="19"/>
      <c r="E105" s="19"/>
      <c r="F105" s="19"/>
    </row>
    <row r="106" spans="1:6">
      <c r="A106" s="18"/>
      <c r="B106" s="19"/>
      <c r="C106" s="19"/>
      <c r="D106" s="19"/>
      <c r="E106" s="19"/>
      <c r="F106" s="19"/>
    </row>
    <row r="107" spans="1:6">
      <c r="A107" s="18"/>
      <c r="B107" s="19"/>
      <c r="C107" s="19"/>
      <c r="D107" s="19"/>
      <c r="E107" s="19"/>
      <c r="F107" s="19"/>
    </row>
    <row r="108" spans="1:6">
      <c r="A108" s="18"/>
      <c r="B108" s="19"/>
      <c r="C108" s="19"/>
      <c r="D108" s="19"/>
      <c r="E108" s="19"/>
      <c r="F108" s="19"/>
    </row>
    <row r="109" spans="1:6">
      <c r="A109" s="18"/>
      <c r="B109" s="19"/>
      <c r="C109" s="19"/>
      <c r="D109" s="19"/>
      <c r="E109" s="19"/>
      <c r="F109" s="19"/>
    </row>
    <row r="110" spans="1:6">
      <c r="A110" s="18"/>
      <c r="B110" s="19"/>
      <c r="C110" s="19"/>
      <c r="D110" s="19"/>
      <c r="E110" s="19"/>
      <c r="F110" s="19"/>
    </row>
    <row r="111" spans="1:6">
      <c r="A111" s="18"/>
      <c r="B111" s="19"/>
      <c r="C111" s="19"/>
      <c r="D111" s="19"/>
      <c r="E111" s="19"/>
      <c r="F111" s="19"/>
    </row>
    <row r="112" spans="1:6">
      <c r="A112" s="18"/>
      <c r="B112" s="19"/>
      <c r="C112" s="19"/>
      <c r="D112" s="19"/>
      <c r="E112" s="19"/>
      <c r="F112" s="19"/>
    </row>
    <row r="113" spans="1:6">
      <c r="A113" s="18"/>
      <c r="B113" s="19"/>
      <c r="C113" s="19"/>
      <c r="D113" s="19"/>
      <c r="E113" s="19"/>
      <c r="F113" s="19"/>
    </row>
    <row r="114" spans="1:6">
      <c r="A114" s="18"/>
      <c r="B114" s="19"/>
      <c r="C114" s="19"/>
      <c r="D114" s="19"/>
      <c r="E114" s="19"/>
      <c r="F114" s="19"/>
    </row>
    <row r="115" spans="1:6">
      <c r="A115" s="16"/>
    </row>
    <row r="117" spans="1:6">
      <c r="A117" s="16"/>
    </row>
    <row r="118" spans="1:6" ht="30.75" customHeight="1">
      <c r="A118" s="33"/>
      <c r="B118" s="17"/>
      <c r="C118" s="17"/>
      <c r="D118" s="21"/>
      <c r="E118" s="17"/>
      <c r="F118" s="17"/>
    </row>
    <row r="119" spans="1:6" ht="15">
      <c r="A119" s="33"/>
      <c r="B119" s="17"/>
      <c r="C119" s="17"/>
      <c r="D119" s="17"/>
      <c r="E119" s="17"/>
      <c r="F119" s="17"/>
    </row>
    <row r="120" spans="1:6">
      <c r="A120" s="18"/>
      <c r="B120" s="19"/>
      <c r="C120" s="19"/>
      <c r="D120" s="19"/>
      <c r="E120" s="19"/>
      <c r="F120" s="19"/>
    </row>
    <row r="121" spans="1:6">
      <c r="A121" s="18"/>
      <c r="B121" s="19"/>
      <c r="C121" s="19"/>
      <c r="D121" s="19"/>
      <c r="E121" s="19"/>
      <c r="F121" s="19"/>
    </row>
    <row r="122" spans="1:6">
      <c r="A122" s="18"/>
      <c r="B122" s="19"/>
      <c r="C122" s="19"/>
      <c r="D122" s="19"/>
      <c r="E122" s="19"/>
      <c r="F122" s="19"/>
    </row>
    <row r="123" spans="1:6">
      <c r="A123" s="18"/>
      <c r="B123" s="19"/>
      <c r="C123" s="19"/>
      <c r="D123" s="19"/>
      <c r="E123" s="19"/>
      <c r="F123" s="19"/>
    </row>
    <row r="124" spans="1:6">
      <c r="A124" s="18"/>
      <c r="B124" s="19"/>
      <c r="C124" s="19"/>
      <c r="D124" s="19"/>
      <c r="E124" s="19"/>
      <c r="F124" s="19"/>
    </row>
    <row r="125" spans="1:6">
      <c r="A125" s="18"/>
      <c r="B125" s="19"/>
      <c r="C125" s="19"/>
      <c r="D125" s="19"/>
      <c r="E125" s="19"/>
      <c r="F125" s="19"/>
    </row>
    <row r="126" spans="1:6">
      <c r="A126" s="18"/>
      <c r="B126" s="19"/>
      <c r="C126" s="19"/>
      <c r="D126" s="19"/>
      <c r="E126" s="19"/>
      <c r="F126" s="19"/>
    </row>
    <row r="127" spans="1:6">
      <c r="A127" s="18"/>
      <c r="B127" s="19"/>
      <c r="C127" s="19"/>
      <c r="D127" s="19"/>
      <c r="E127" s="19"/>
      <c r="F127" s="19"/>
    </row>
    <row r="128" spans="1:6">
      <c r="A128" s="18"/>
      <c r="B128" s="19"/>
      <c r="C128" s="19"/>
      <c r="D128" s="19"/>
      <c r="E128" s="19"/>
      <c r="F128" s="19"/>
    </row>
    <row r="129" spans="1:6">
      <c r="A129" s="18"/>
      <c r="B129" s="19"/>
      <c r="C129" s="19"/>
      <c r="D129" s="19"/>
      <c r="E129" s="19"/>
      <c r="F129" s="19"/>
    </row>
    <row r="130" spans="1:6">
      <c r="A130" s="18"/>
      <c r="B130" s="19"/>
      <c r="C130" s="19"/>
      <c r="D130" s="19"/>
      <c r="E130" s="19"/>
      <c r="F130" s="19"/>
    </row>
    <row r="131" spans="1:6">
      <c r="A131" s="18"/>
      <c r="B131" s="19"/>
      <c r="C131" s="19"/>
      <c r="D131" s="19"/>
      <c r="E131" s="19"/>
      <c r="F131" s="19"/>
    </row>
    <row r="132" spans="1:6">
      <c r="A132" s="18"/>
      <c r="B132" s="19"/>
      <c r="C132" s="19"/>
      <c r="D132" s="19"/>
      <c r="E132" s="19"/>
      <c r="F132" s="19"/>
    </row>
    <row r="133" spans="1:6">
      <c r="A133" s="18"/>
      <c r="B133" s="19"/>
      <c r="C133" s="19"/>
      <c r="D133" s="19"/>
      <c r="E133" s="19"/>
      <c r="F133" s="19"/>
    </row>
    <row r="134" spans="1:6">
      <c r="A134" s="16"/>
    </row>
    <row r="136" spans="1:6">
      <c r="A136" s="16"/>
    </row>
    <row r="137" spans="1:6" ht="30.75" customHeight="1">
      <c r="A137" s="33"/>
      <c r="B137" s="17"/>
      <c r="C137" s="17"/>
      <c r="D137" s="21"/>
      <c r="E137" s="17"/>
      <c r="F137" s="17"/>
    </row>
    <row r="138" spans="1:6" ht="15">
      <c r="A138" s="33"/>
      <c r="B138" s="17"/>
      <c r="C138" s="17"/>
      <c r="D138" s="17"/>
      <c r="E138" s="17"/>
      <c r="F138" s="17"/>
    </row>
    <row r="139" spans="1:6">
      <c r="A139" s="18"/>
      <c r="B139" s="19"/>
      <c r="C139" s="19"/>
      <c r="D139" s="19"/>
      <c r="E139" s="19"/>
      <c r="F139" s="19"/>
    </row>
    <row r="140" spans="1:6">
      <c r="A140" s="18"/>
      <c r="B140" s="19"/>
      <c r="C140" s="19"/>
      <c r="D140" s="19"/>
      <c r="E140" s="19"/>
      <c r="F140" s="19"/>
    </row>
    <row r="141" spans="1:6">
      <c r="A141" s="18"/>
      <c r="B141" s="19"/>
      <c r="C141" s="19"/>
      <c r="D141" s="19"/>
      <c r="E141" s="19"/>
      <c r="F141" s="19"/>
    </row>
    <row r="142" spans="1:6">
      <c r="A142" s="34"/>
      <c r="B142" s="22"/>
    </row>
    <row r="143" spans="1:6">
      <c r="A143" s="16"/>
    </row>
    <row r="144" spans="1:6">
      <c r="A144" s="32"/>
    </row>
    <row r="145" spans="1:6" ht="31.5" customHeight="1">
      <c r="A145" s="33"/>
      <c r="B145" s="17"/>
      <c r="C145" s="17"/>
      <c r="D145" s="17"/>
      <c r="E145" s="17"/>
    </row>
    <row r="146" spans="1:6" ht="15">
      <c r="A146" s="33"/>
      <c r="B146" s="21"/>
      <c r="C146" s="17"/>
      <c r="D146" s="17"/>
      <c r="E146" s="17"/>
    </row>
    <row r="147" spans="1:6" ht="15">
      <c r="A147" s="33"/>
      <c r="B147" s="23"/>
      <c r="C147" s="24"/>
      <c r="D147" s="17"/>
      <c r="E147" s="17"/>
    </row>
    <row r="148" spans="1:6">
      <c r="A148" s="18"/>
      <c r="B148" s="19"/>
      <c r="C148" s="25"/>
      <c r="D148" s="19"/>
      <c r="E148" s="19"/>
    </row>
    <row r="149" spans="1:6">
      <c r="A149" s="18"/>
      <c r="B149" s="19"/>
      <c r="C149" s="19"/>
      <c r="D149" s="19"/>
      <c r="E149" s="19"/>
    </row>
    <row r="150" spans="1:6">
      <c r="A150" s="18"/>
      <c r="B150" s="19"/>
      <c r="C150" s="19"/>
      <c r="D150" s="19"/>
      <c r="E150" s="19"/>
    </row>
    <row r="151" spans="1:6">
      <c r="A151" s="18"/>
      <c r="B151" s="19"/>
      <c r="C151" s="19"/>
      <c r="D151" s="19"/>
      <c r="E151" s="19"/>
    </row>
    <row r="152" spans="1:6">
      <c r="A152" s="18"/>
      <c r="B152" s="19"/>
      <c r="C152" s="19"/>
      <c r="D152" s="19"/>
      <c r="E152" s="19"/>
    </row>
    <row r="153" spans="1:6">
      <c r="A153" s="18"/>
      <c r="B153" s="19"/>
      <c r="C153" s="19"/>
      <c r="D153" s="19"/>
      <c r="E153" s="19"/>
    </row>
    <row r="154" spans="1:6">
      <c r="A154" s="32"/>
    </row>
    <row r="156" spans="1:6">
      <c r="A156" s="16"/>
    </row>
    <row r="158" spans="1:6">
      <c r="A158" s="35"/>
    </row>
    <row r="159" spans="1:6">
      <c r="A159" s="32"/>
    </row>
    <row r="160" spans="1:6" ht="30" customHeight="1">
      <c r="A160" s="33"/>
      <c r="B160" s="26"/>
      <c r="C160" s="26"/>
      <c r="D160" s="26"/>
      <c r="E160" s="26"/>
      <c r="F160" s="26"/>
    </row>
    <row r="161" spans="1:6">
      <c r="A161" s="33"/>
      <c r="B161" s="26"/>
      <c r="C161" s="26"/>
      <c r="D161" s="26"/>
      <c r="E161" s="26"/>
      <c r="F161" s="26"/>
    </row>
    <row r="162" spans="1:6" ht="15.75" customHeight="1">
      <c r="A162" s="33"/>
      <c r="B162" s="26"/>
      <c r="C162" s="26"/>
      <c r="D162" s="24"/>
      <c r="E162" s="24"/>
      <c r="F162" s="24"/>
    </row>
    <row r="163" spans="1:6">
      <c r="A163" s="18"/>
      <c r="B163" s="19"/>
      <c r="C163" s="19"/>
      <c r="D163" s="19"/>
      <c r="E163" s="19"/>
      <c r="F163" s="19"/>
    </row>
    <row r="164" spans="1:6">
      <c r="A164" s="18"/>
      <c r="B164" s="19"/>
      <c r="C164" s="19"/>
      <c r="D164" s="19"/>
      <c r="E164" s="19"/>
      <c r="F164" s="19"/>
    </row>
    <row r="165" spans="1:6">
      <c r="A165" s="18"/>
      <c r="B165" s="19"/>
      <c r="C165" s="19"/>
      <c r="D165" s="19"/>
      <c r="E165" s="19"/>
      <c r="F165" s="19"/>
    </row>
    <row r="166" spans="1:6">
      <c r="A166" s="18"/>
      <c r="B166" s="19"/>
      <c r="C166" s="19"/>
      <c r="D166" s="19"/>
      <c r="E166" s="19"/>
      <c r="F166" s="19"/>
    </row>
    <row r="167" spans="1:6">
      <c r="A167" s="18"/>
      <c r="B167" s="19"/>
      <c r="C167" s="19"/>
      <c r="D167" s="19"/>
      <c r="E167" s="19"/>
      <c r="F167" s="19"/>
    </row>
    <row r="168" spans="1:6">
      <c r="A168" s="18"/>
      <c r="B168" s="19"/>
      <c r="C168" s="19"/>
      <c r="D168" s="19"/>
      <c r="E168" s="19"/>
      <c r="F168" s="19"/>
    </row>
    <row r="169" spans="1:6">
      <c r="A169" s="18"/>
      <c r="B169" s="19"/>
      <c r="C169" s="19"/>
      <c r="D169" s="19"/>
      <c r="E169" s="19"/>
      <c r="F169" s="19"/>
    </row>
    <row r="170" spans="1:6">
      <c r="A170" s="18"/>
      <c r="B170" s="19"/>
      <c r="C170" s="19"/>
      <c r="D170" s="19"/>
      <c r="E170" s="19"/>
      <c r="F170" s="19"/>
    </row>
    <row r="171" spans="1:6">
      <c r="A171" s="18"/>
      <c r="B171" s="19"/>
      <c r="C171" s="19"/>
      <c r="D171" s="19"/>
      <c r="E171" s="19"/>
      <c r="F171" s="19"/>
    </row>
    <row r="172" spans="1:6">
      <c r="A172" s="18"/>
      <c r="B172" s="19"/>
      <c r="C172" s="19"/>
      <c r="D172" s="19"/>
      <c r="E172" s="19"/>
      <c r="F172" s="19"/>
    </row>
    <row r="173" spans="1:6">
      <c r="A173" s="18"/>
      <c r="B173" s="19"/>
      <c r="C173" s="19"/>
      <c r="D173" s="19"/>
      <c r="E173" s="19"/>
      <c r="F173" s="19"/>
    </row>
    <row r="174" spans="1:6">
      <c r="A174" s="18"/>
      <c r="B174" s="19"/>
      <c r="C174" s="19"/>
      <c r="D174" s="19"/>
      <c r="E174" s="19"/>
      <c r="F174" s="19"/>
    </row>
    <row r="175" spans="1:6">
      <c r="A175" s="18"/>
      <c r="B175" s="19"/>
      <c r="C175" s="19"/>
      <c r="D175" s="19"/>
      <c r="E175" s="19"/>
      <c r="F175" s="19"/>
    </row>
    <row r="176" spans="1:6">
      <c r="A176" s="18"/>
      <c r="B176" s="19"/>
      <c r="C176" s="19"/>
      <c r="D176" s="19"/>
      <c r="E176" s="19"/>
      <c r="F176" s="19"/>
    </row>
    <row r="177" spans="1:6">
      <c r="A177" s="18"/>
      <c r="B177" s="19"/>
      <c r="C177" s="19"/>
      <c r="D177" s="19"/>
      <c r="E177" s="19"/>
      <c r="F177" s="19"/>
    </row>
    <row r="178" spans="1:6">
      <c r="A178" s="34"/>
      <c r="B178" s="22"/>
    </row>
    <row r="180" spans="1:6">
      <c r="A180" s="16"/>
    </row>
    <row r="181" spans="1:6">
      <c r="A181" s="32"/>
    </row>
    <row r="182" spans="1:6" ht="47.25" customHeight="1">
      <c r="A182" s="33"/>
      <c r="B182" s="26"/>
      <c r="C182" s="26"/>
      <c r="D182" s="26"/>
      <c r="E182" s="26"/>
    </row>
    <row r="183" spans="1:6" ht="15.75" customHeight="1">
      <c r="A183" s="33"/>
      <c r="B183" s="27"/>
      <c r="C183" s="27"/>
      <c r="D183" s="26"/>
      <c r="E183" s="26"/>
    </row>
    <row r="184" spans="1:6">
      <c r="A184" s="18"/>
      <c r="B184" s="19"/>
      <c r="C184" s="19"/>
      <c r="D184" s="19"/>
      <c r="E184" s="19"/>
    </row>
    <row r="185" spans="1:6">
      <c r="A185" s="18"/>
      <c r="B185" s="19"/>
      <c r="C185" s="19"/>
      <c r="D185" s="19"/>
      <c r="E185" s="19"/>
    </row>
    <row r="186" spans="1:6">
      <c r="A186" s="18"/>
      <c r="B186" s="19"/>
      <c r="C186" s="19"/>
      <c r="D186" s="19"/>
      <c r="E186" s="19"/>
    </row>
    <row r="187" spans="1:6">
      <c r="A187" s="34"/>
      <c r="B187" s="22"/>
    </row>
    <row r="188" spans="1:6">
      <c r="A188" s="16"/>
    </row>
    <row r="189" spans="1:6" ht="47.25" customHeight="1">
      <c r="A189" s="33"/>
      <c r="B189" s="26"/>
      <c r="C189" s="26"/>
      <c r="D189" s="26"/>
      <c r="E189" s="26"/>
    </row>
    <row r="190" spans="1:6" ht="15.75" customHeight="1">
      <c r="A190" s="33"/>
      <c r="B190" s="27"/>
      <c r="C190" s="27"/>
      <c r="D190" s="26"/>
      <c r="E190" s="26"/>
    </row>
    <row r="191" spans="1:6">
      <c r="A191" s="18"/>
      <c r="B191" s="19"/>
      <c r="C191" s="19"/>
      <c r="D191" s="19"/>
      <c r="E191" s="19"/>
    </row>
    <row r="192" spans="1:6">
      <c r="A192" s="18"/>
      <c r="B192" s="19"/>
      <c r="C192" s="19"/>
      <c r="D192" s="19"/>
      <c r="E192" s="19"/>
    </row>
    <row r="193" spans="1:5">
      <c r="A193" s="18"/>
      <c r="B193" s="19"/>
      <c r="C193" s="19"/>
      <c r="D193" s="19"/>
      <c r="E193" s="19"/>
    </row>
    <row r="194" spans="1:5">
      <c r="A194" s="36"/>
      <c r="B194" s="28"/>
    </row>
    <row r="195" spans="1:5">
      <c r="A195" s="37"/>
    </row>
    <row r="196" spans="1:5">
      <c r="A196" s="16"/>
    </row>
    <row r="197" spans="1:5" ht="47.25" customHeight="1">
      <c r="A197" s="33"/>
      <c r="B197" s="26"/>
      <c r="C197" s="26"/>
      <c r="D197" s="26"/>
      <c r="E197" s="26"/>
    </row>
    <row r="198" spans="1:5" ht="15.75" customHeight="1">
      <c r="A198" s="33"/>
      <c r="B198" s="26"/>
      <c r="C198" s="26"/>
      <c r="D198" s="26"/>
      <c r="E198" s="26"/>
    </row>
    <row r="199" spans="1:5">
      <c r="A199" s="18"/>
      <c r="B199" s="19"/>
      <c r="C199" s="19"/>
      <c r="D199" s="19"/>
      <c r="E199" s="19"/>
    </row>
    <row r="200" spans="1:5">
      <c r="A200" s="36"/>
      <c r="B200" s="28"/>
    </row>
    <row r="201" spans="1:5">
      <c r="A201" s="32"/>
    </row>
    <row r="202" spans="1:5">
      <c r="A202" s="32"/>
    </row>
    <row r="246" spans="1:1">
      <c r="A246" s="31" t="s">
        <v>153</v>
      </c>
    </row>
  </sheetData>
  <sheetProtection selectLockedCells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1048567"/>
  <sheetViews>
    <sheetView zoomScale="115" zoomScaleNormal="115" zoomScalePageLayoutView="115" workbookViewId="0"/>
  </sheetViews>
  <sheetFormatPr baseColWidth="10" defaultColWidth="8.83203125" defaultRowHeight="13" x14ac:dyDescent="0.75"/>
  <cols>
    <col min="1" max="1" width="48.5" style="58" customWidth="1"/>
    <col min="2" max="3" width="9.1640625" style="39" customWidth="1"/>
    <col min="4" max="6" width="10" style="39" customWidth="1"/>
    <col min="7" max="7" width="10" style="40" customWidth="1"/>
    <col min="8" max="8" width="9" style="1" customWidth="1"/>
    <col min="9" max="9" width="13.5" style="1" customWidth="1"/>
    <col min="10" max="10" width="48.5" style="1" customWidth="1"/>
    <col min="11" max="11" width="17.6640625" style="1" customWidth="1"/>
    <col min="12" max="14" width="8.83203125" style="1"/>
    <col min="15" max="15" width="10.33203125" style="1" bestFit="1" customWidth="1"/>
    <col min="16" max="16384" width="8.83203125" style="1"/>
  </cols>
  <sheetData>
    <row r="1" spans="1:10" s="12" customFormat="1" ht="14">
      <c r="A1" s="38"/>
      <c r="B1" s="39"/>
      <c r="C1" s="39"/>
      <c r="D1" s="39"/>
      <c r="E1" s="75"/>
      <c r="F1" s="75"/>
      <c r="G1" s="75"/>
    </row>
    <row r="2" spans="1:10" s="12" customFormat="1" ht="14">
      <c r="A2" s="38"/>
      <c r="B2" s="39"/>
      <c r="C2" s="39"/>
      <c r="D2" s="39"/>
      <c r="E2" s="75"/>
      <c r="F2" s="75"/>
      <c r="G2" s="75"/>
    </row>
    <row r="3" spans="1:10" s="12" customFormat="1" ht="14">
      <c r="A3" s="41" t="s">
        <v>142</v>
      </c>
      <c r="B3" s="42"/>
      <c r="C3" s="42"/>
      <c r="D3" s="42"/>
      <c r="E3" s="75"/>
      <c r="F3" s="75"/>
      <c r="G3" s="75"/>
      <c r="H3" s="6"/>
      <c r="J3" s="13"/>
    </row>
    <row r="4" spans="1:10" s="12" customFormat="1" ht="14">
      <c r="A4" s="38" t="s">
        <v>64</v>
      </c>
      <c r="B4" s="39"/>
      <c r="C4" s="39"/>
      <c r="D4" s="43"/>
      <c r="E4" s="75"/>
      <c r="F4" s="75"/>
      <c r="G4" s="75"/>
    </row>
    <row r="5" spans="1:10" s="12" customFormat="1" ht="14">
      <c r="A5" s="41" t="s">
        <v>142</v>
      </c>
      <c r="B5" s="42"/>
      <c r="C5" s="42"/>
      <c r="D5" s="42"/>
      <c r="E5" s="75"/>
      <c r="F5" s="75"/>
      <c r="G5" s="75"/>
      <c r="H5" s="6"/>
    </row>
    <row r="6" spans="1:10" s="12" customFormat="1" ht="14">
      <c r="A6" s="38" t="s">
        <v>65</v>
      </c>
      <c r="B6" s="43" t="s">
        <v>7</v>
      </c>
      <c r="C6" s="43" t="s">
        <v>6</v>
      </c>
      <c r="D6" s="39"/>
      <c r="E6" s="75"/>
      <c r="F6" s="75"/>
      <c r="G6" s="75"/>
      <c r="J6" s="9"/>
    </row>
    <row r="7" spans="1:10" s="12" customFormat="1" ht="14">
      <c r="A7" s="38" t="s">
        <v>66</v>
      </c>
      <c r="B7" s="39">
        <f>'Paste here'!C45</f>
        <v>0</v>
      </c>
      <c r="C7" s="39">
        <f>(ROUND((NORMDIST(B7,100,15,1)*100),0))</f>
        <v>0</v>
      </c>
      <c r="D7" s="39"/>
      <c r="E7" s="75"/>
      <c r="F7" s="75"/>
      <c r="G7" s="75"/>
      <c r="J7" s="9"/>
    </row>
    <row r="8" spans="1:10" s="12" customFormat="1" ht="14">
      <c r="A8" s="38"/>
      <c r="B8" s="39"/>
      <c r="C8" s="39"/>
      <c r="D8" s="39"/>
      <c r="E8" s="75"/>
      <c r="F8" s="75"/>
      <c r="G8" s="75"/>
      <c r="J8" s="9"/>
    </row>
    <row r="9" spans="1:10" s="12" customFormat="1" ht="14">
      <c r="A9" s="38"/>
      <c r="B9" s="39"/>
      <c r="C9" s="39"/>
      <c r="D9" s="39"/>
      <c r="E9" s="75"/>
      <c r="F9" s="75"/>
      <c r="G9" s="75"/>
      <c r="J9" s="9"/>
    </row>
    <row r="10" spans="1:10" s="12" customFormat="1" ht="14">
      <c r="A10" s="38"/>
      <c r="B10" s="39"/>
      <c r="C10" s="39"/>
      <c r="D10" s="39"/>
      <c r="E10" s="75"/>
      <c r="F10" s="75"/>
      <c r="G10" s="75"/>
      <c r="J10" s="9"/>
    </row>
    <row r="11" spans="1:10" s="12" customFormat="1" ht="14">
      <c r="A11" s="41" t="s">
        <v>142</v>
      </c>
      <c r="B11" s="44"/>
      <c r="C11" s="45"/>
      <c r="D11" s="45"/>
      <c r="E11" s="75"/>
      <c r="F11" s="75"/>
      <c r="G11" s="75"/>
      <c r="H11" s="6"/>
    </row>
    <row r="12" spans="1:10" s="12" customFormat="1" ht="14">
      <c r="A12" s="38" t="s">
        <v>141</v>
      </c>
      <c r="B12" s="39" t="s">
        <v>4</v>
      </c>
      <c r="C12" s="39" t="s">
        <v>5</v>
      </c>
      <c r="D12" s="39" t="s">
        <v>6</v>
      </c>
      <c r="E12" s="75"/>
      <c r="F12" s="75"/>
      <c r="G12" s="75"/>
      <c r="J12" s="9"/>
    </row>
    <row r="13" spans="1:10" s="12" customFormat="1" ht="14">
      <c r="A13" s="41" t="s">
        <v>142</v>
      </c>
      <c r="B13" s="44"/>
      <c r="C13" s="45"/>
      <c r="D13" s="45"/>
      <c r="E13" s="75"/>
      <c r="F13" s="75"/>
      <c r="G13" s="75"/>
      <c r="H13" s="6"/>
    </row>
    <row r="14" spans="1:10" s="12" customFormat="1" ht="14">
      <c r="A14" s="38" t="s">
        <v>33</v>
      </c>
      <c r="B14" s="40"/>
      <c r="C14" s="40"/>
      <c r="D14" s="40"/>
      <c r="E14" s="75"/>
      <c r="F14" s="75"/>
      <c r="G14" s="75"/>
      <c r="J14" s="9"/>
    </row>
    <row r="15" spans="1:10" s="12" customFormat="1" ht="14">
      <c r="A15" s="38" t="s">
        <v>67</v>
      </c>
      <c r="B15" s="43">
        <f>'Paste here'!B52</f>
        <v>0</v>
      </c>
      <c r="C15" s="43">
        <f>'Paste here'!D52</f>
        <v>0</v>
      </c>
      <c r="D15" s="43">
        <f>'Paste here'!E52</f>
        <v>0</v>
      </c>
      <c r="E15" s="75"/>
      <c r="F15" s="75"/>
      <c r="G15" s="75"/>
      <c r="J15" s="9"/>
    </row>
    <row r="16" spans="1:10" s="12" customFormat="1" ht="14">
      <c r="A16" s="38"/>
      <c r="B16" s="43"/>
      <c r="C16" s="43"/>
      <c r="D16" s="43"/>
      <c r="E16" s="75"/>
      <c r="F16" s="75"/>
      <c r="G16" s="75"/>
      <c r="J16" s="9"/>
    </row>
    <row r="17" spans="1:10" s="12" customFormat="1" ht="14">
      <c r="A17" s="38"/>
      <c r="B17" s="43"/>
      <c r="C17" s="43"/>
      <c r="D17" s="43"/>
      <c r="E17" s="75"/>
      <c r="F17" s="75"/>
      <c r="G17" s="75"/>
      <c r="J17" s="9"/>
    </row>
    <row r="18" spans="1:10" s="12" customFormat="1" ht="14">
      <c r="A18" s="38"/>
      <c r="B18" s="43"/>
      <c r="C18" s="43"/>
      <c r="D18" s="43"/>
      <c r="E18" s="75"/>
      <c r="F18" s="75"/>
      <c r="G18" s="75"/>
      <c r="J18" s="9"/>
    </row>
    <row r="19" spans="1:10" s="12" customFormat="1" ht="14">
      <c r="A19" s="41" t="s">
        <v>142</v>
      </c>
      <c r="B19" s="46"/>
      <c r="C19" s="46"/>
      <c r="D19" s="46"/>
      <c r="E19" s="75"/>
      <c r="F19" s="75"/>
      <c r="G19" s="75"/>
      <c r="H19" s="6"/>
    </row>
    <row r="20" spans="1:10" s="12" customFormat="1" ht="14">
      <c r="A20" s="38" t="s">
        <v>143</v>
      </c>
      <c r="B20" s="39" t="s">
        <v>4</v>
      </c>
      <c r="C20" s="39" t="s">
        <v>5</v>
      </c>
      <c r="D20" s="39" t="s">
        <v>6</v>
      </c>
      <c r="E20" s="75"/>
      <c r="F20" s="75"/>
      <c r="G20" s="75"/>
      <c r="J20" s="9"/>
    </row>
    <row r="21" spans="1:10" s="12" customFormat="1" ht="14">
      <c r="A21" s="41" t="s">
        <v>142</v>
      </c>
      <c r="B21" s="46"/>
      <c r="C21" s="46"/>
      <c r="D21" s="46"/>
      <c r="E21" s="75"/>
      <c r="F21" s="75"/>
      <c r="G21" s="75"/>
      <c r="H21" s="6"/>
    </row>
    <row r="22" spans="1:10" s="12" customFormat="1" ht="14">
      <c r="A22" s="38" t="s">
        <v>139</v>
      </c>
      <c r="B22" s="40"/>
      <c r="C22" s="40"/>
      <c r="D22" s="40"/>
      <c r="E22" s="75"/>
      <c r="F22" s="75"/>
      <c r="G22" s="75"/>
      <c r="J22" s="9"/>
    </row>
    <row r="23" spans="1:10" s="12" customFormat="1" ht="14">
      <c r="A23" s="38" t="s">
        <v>68</v>
      </c>
      <c r="B23" s="43">
        <f>'Paste here'!B62</f>
        <v>0</v>
      </c>
      <c r="C23" s="43">
        <f>'Paste here'!D62</f>
        <v>0</v>
      </c>
      <c r="D23" s="43">
        <f>'Paste here'!E62</f>
        <v>0</v>
      </c>
      <c r="E23" s="75"/>
      <c r="F23" s="75"/>
      <c r="G23" s="75"/>
      <c r="J23" s="9"/>
    </row>
    <row r="24" spans="1:10" s="12" customFormat="1" ht="14">
      <c r="A24" s="38" t="s">
        <v>69</v>
      </c>
      <c r="B24" s="43">
        <f>'Paste here'!B65</f>
        <v>0</v>
      </c>
      <c r="C24" s="43">
        <f>'Paste here'!D65</f>
        <v>0</v>
      </c>
      <c r="D24" s="43">
        <f>'Paste here'!E65</f>
        <v>0</v>
      </c>
      <c r="E24" s="75"/>
      <c r="F24" s="75"/>
      <c r="G24" s="75"/>
      <c r="J24" s="9"/>
    </row>
    <row r="25" spans="1:10" s="12" customFormat="1" ht="14">
      <c r="A25" s="38"/>
      <c r="B25" s="43"/>
      <c r="C25" s="43"/>
      <c r="D25" s="43"/>
      <c r="E25" s="75"/>
      <c r="F25" s="75"/>
      <c r="G25" s="75"/>
      <c r="J25" s="9"/>
    </row>
    <row r="26" spans="1:10" s="12" customFormat="1" ht="14">
      <c r="A26" s="38"/>
      <c r="B26" s="43"/>
      <c r="C26" s="43"/>
      <c r="D26" s="43"/>
      <c r="E26" s="75"/>
      <c r="F26" s="75"/>
      <c r="G26" s="75"/>
      <c r="J26" s="9"/>
    </row>
    <row r="27" spans="1:10" s="12" customFormat="1" ht="14">
      <c r="A27" s="38"/>
      <c r="B27" s="43"/>
      <c r="C27" s="43"/>
      <c r="D27" s="43"/>
      <c r="E27" s="75"/>
      <c r="F27" s="75"/>
      <c r="G27" s="75"/>
      <c r="J27" s="9"/>
    </row>
    <row r="28" spans="1:10" s="12" customFormat="1" ht="14">
      <c r="A28" s="41" t="s">
        <v>142</v>
      </c>
      <c r="B28" s="44"/>
      <c r="C28" s="44"/>
      <c r="D28" s="44"/>
      <c r="E28" s="75"/>
      <c r="F28" s="75"/>
      <c r="G28" s="75"/>
      <c r="H28" s="6"/>
    </row>
    <row r="29" spans="1:10" s="12" customFormat="1" ht="14">
      <c r="A29" s="38" t="s">
        <v>144</v>
      </c>
      <c r="B29" s="39" t="s">
        <v>4</v>
      </c>
      <c r="C29" s="39" t="s">
        <v>5</v>
      </c>
      <c r="D29" s="39" t="s">
        <v>6</v>
      </c>
      <c r="E29" s="75"/>
      <c r="F29" s="75"/>
      <c r="G29" s="75"/>
      <c r="J29" s="9"/>
    </row>
    <row r="30" spans="1:10" s="12" customFormat="1" ht="14">
      <c r="A30" s="41" t="s">
        <v>142</v>
      </c>
      <c r="B30" s="44"/>
      <c r="C30" s="44"/>
      <c r="D30" s="44"/>
      <c r="E30" s="75"/>
      <c r="F30" s="75"/>
      <c r="G30" s="75"/>
      <c r="H30" s="6"/>
    </row>
    <row r="31" spans="1:10" s="12" customFormat="1" ht="14">
      <c r="A31" s="38" t="s">
        <v>0</v>
      </c>
      <c r="B31" s="39"/>
      <c r="C31" s="39"/>
      <c r="D31" s="39"/>
      <c r="E31" s="75"/>
      <c r="F31" s="75"/>
      <c r="G31" s="75"/>
      <c r="J31" s="9"/>
    </row>
    <row r="32" spans="1:10" s="12" customFormat="1" ht="14">
      <c r="A32" s="38" t="s">
        <v>70</v>
      </c>
      <c r="B32" s="43">
        <f>'Paste here'!B75</f>
        <v>0</v>
      </c>
      <c r="C32" s="43">
        <f>'Paste here'!D75</f>
        <v>0</v>
      </c>
      <c r="D32" s="43">
        <f>'Paste here'!E75</f>
        <v>0</v>
      </c>
      <c r="E32" s="75"/>
      <c r="F32" s="75"/>
      <c r="G32" s="75"/>
      <c r="J32" s="9"/>
    </row>
    <row r="33" spans="1:10" s="12" customFormat="1" ht="14">
      <c r="A33" s="38" t="s">
        <v>71</v>
      </c>
      <c r="B33" s="43">
        <f>'Paste here'!B76</f>
        <v>0</v>
      </c>
      <c r="C33" s="43">
        <f>'Paste here'!D76</f>
        <v>0</v>
      </c>
      <c r="D33" s="43">
        <f>'Paste here'!E76</f>
        <v>0</v>
      </c>
      <c r="E33" s="75"/>
      <c r="F33" s="75"/>
      <c r="G33" s="75"/>
      <c r="J33" s="9"/>
    </row>
    <row r="34" spans="1:10" s="12" customFormat="1" ht="14">
      <c r="A34" s="38" t="s">
        <v>72</v>
      </c>
      <c r="B34" s="43">
        <f>'Paste here'!B77</f>
        <v>0</v>
      </c>
      <c r="C34" s="43">
        <f>'Paste here'!D77</f>
        <v>0</v>
      </c>
      <c r="D34" s="43">
        <f>'Paste here'!E77</f>
        <v>0</v>
      </c>
      <c r="E34" s="75"/>
      <c r="F34" s="75"/>
      <c r="G34" s="75"/>
      <c r="J34" s="9"/>
    </row>
    <row r="35" spans="1:10" s="12" customFormat="1" ht="14">
      <c r="A35" s="38"/>
      <c r="B35" s="43"/>
      <c r="C35" s="43"/>
      <c r="D35" s="43"/>
      <c r="E35" s="75"/>
      <c r="F35" s="75"/>
      <c r="G35" s="75"/>
      <c r="J35" s="9"/>
    </row>
    <row r="36" spans="1:10" s="12" customFormat="1" ht="14">
      <c r="A36" s="38" t="s">
        <v>140</v>
      </c>
      <c r="B36" s="39"/>
      <c r="C36" s="39"/>
      <c r="D36" s="39"/>
      <c r="E36" s="75"/>
      <c r="F36" s="75"/>
      <c r="G36" s="75"/>
      <c r="J36" s="9"/>
    </row>
    <row r="37" spans="1:10" s="12" customFormat="1" ht="14">
      <c r="A37" s="38" t="s">
        <v>73</v>
      </c>
      <c r="B37" s="43">
        <f>'Paste here'!B78</f>
        <v>0</v>
      </c>
      <c r="C37" s="43">
        <f>'Paste here'!D78</f>
        <v>0</v>
      </c>
      <c r="D37" s="43">
        <f>'Paste here'!E78</f>
        <v>0</v>
      </c>
      <c r="E37" s="75"/>
      <c r="F37" s="75"/>
      <c r="G37" s="75"/>
      <c r="J37" s="9"/>
    </row>
    <row r="38" spans="1:10" s="12" customFormat="1" ht="14">
      <c r="A38" s="38" t="s">
        <v>74</v>
      </c>
      <c r="B38" s="43"/>
      <c r="C38" s="43"/>
      <c r="D38" s="43"/>
      <c r="E38" s="75"/>
      <c r="F38" s="75"/>
      <c r="G38" s="75"/>
      <c r="J38" s="9"/>
    </row>
    <row r="39" spans="1:10" s="12" customFormat="1" ht="14">
      <c r="A39" s="38" t="s">
        <v>75</v>
      </c>
      <c r="B39" s="43">
        <f>'Paste here'!B79</f>
        <v>0</v>
      </c>
      <c r="C39" s="43">
        <f>'Paste here'!D79</f>
        <v>0</v>
      </c>
      <c r="D39" s="43">
        <f>'Paste here'!E79</f>
        <v>0</v>
      </c>
      <c r="E39" s="75"/>
      <c r="F39" s="75"/>
      <c r="G39" s="75"/>
      <c r="J39" s="9"/>
    </row>
    <row r="40" spans="1:10" s="12" customFormat="1" ht="14">
      <c r="A40" s="38" t="s">
        <v>74</v>
      </c>
      <c r="B40" s="43"/>
      <c r="C40" s="43"/>
      <c r="D40" s="43"/>
      <c r="E40" s="75"/>
      <c r="F40" s="75"/>
      <c r="G40" s="75"/>
      <c r="J40" s="9"/>
    </row>
    <row r="41" spans="1:10" s="12" customFormat="1" ht="14">
      <c r="A41" s="38"/>
      <c r="B41" s="43"/>
      <c r="C41" s="43"/>
      <c r="D41" s="43"/>
      <c r="E41" s="75"/>
      <c r="F41" s="75"/>
      <c r="G41" s="75"/>
      <c r="J41" s="9"/>
    </row>
    <row r="42" spans="1:10" s="12" customFormat="1" ht="14">
      <c r="A42" s="38"/>
      <c r="B42" s="43"/>
      <c r="C42" s="43"/>
      <c r="D42" s="43"/>
      <c r="E42" s="75"/>
      <c r="F42" s="75"/>
      <c r="G42" s="75"/>
      <c r="J42" s="9"/>
    </row>
    <row r="43" spans="1:10" s="12" customFormat="1" ht="14">
      <c r="A43" s="38"/>
      <c r="B43" s="43"/>
      <c r="C43" s="43"/>
      <c r="D43" s="43"/>
      <c r="E43" s="75"/>
      <c r="F43" s="75"/>
      <c r="G43" s="75"/>
      <c r="J43" s="9"/>
    </row>
    <row r="44" spans="1:10" s="12" customFormat="1" ht="14">
      <c r="A44" s="41" t="s">
        <v>142</v>
      </c>
      <c r="B44" s="44"/>
      <c r="C44" s="44"/>
      <c r="D44" s="44"/>
      <c r="E44" s="75"/>
      <c r="F44" s="75"/>
      <c r="G44" s="75"/>
      <c r="H44" s="6"/>
    </row>
    <row r="45" spans="1:10" s="12" customFormat="1" ht="14">
      <c r="A45" s="38" t="s">
        <v>145</v>
      </c>
      <c r="B45" s="39" t="s">
        <v>4</v>
      </c>
      <c r="C45" s="39" t="s">
        <v>5</v>
      </c>
      <c r="D45" s="39" t="s">
        <v>6</v>
      </c>
      <c r="E45" s="75"/>
      <c r="F45" s="75"/>
      <c r="G45" s="75"/>
      <c r="J45" s="9"/>
    </row>
    <row r="46" spans="1:10" s="12" customFormat="1" ht="14">
      <c r="A46" s="41" t="s">
        <v>142</v>
      </c>
      <c r="B46" s="44"/>
      <c r="C46" s="44"/>
      <c r="D46" s="44"/>
      <c r="E46" s="75"/>
      <c r="F46" s="75"/>
      <c r="G46" s="75"/>
      <c r="H46" s="6"/>
    </row>
    <row r="47" spans="1:10" s="12" customFormat="1" ht="14">
      <c r="A47" s="38" t="s">
        <v>1</v>
      </c>
      <c r="B47" s="39"/>
      <c r="C47" s="39"/>
      <c r="D47" s="39"/>
      <c r="E47" s="75"/>
      <c r="F47" s="75"/>
      <c r="G47" s="75"/>
      <c r="J47" s="9"/>
    </row>
    <row r="48" spans="1:10" s="12" customFormat="1" ht="14">
      <c r="A48" s="38" t="s">
        <v>76</v>
      </c>
      <c r="B48" s="43">
        <f>'Paste here'!B86</f>
        <v>0</v>
      </c>
      <c r="C48" s="43">
        <f>'Paste here'!D86</f>
        <v>0</v>
      </c>
      <c r="D48" s="43">
        <f>'Paste here'!E86</f>
        <v>0</v>
      </c>
      <c r="E48" s="75"/>
      <c r="F48" s="75"/>
      <c r="G48" s="75"/>
      <c r="J48" s="9"/>
    </row>
    <row r="49" spans="1:10" s="12" customFormat="1" ht="14">
      <c r="A49" s="38" t="s">
        <v>77</v>
      </c>
      <c r="B49" s="43">
        <f>'Paste here'!B88</f>
        <v>0</v>
      </c>
      <c r="C49" s="43">
        <f>'Paste here'!D88</f>
        <v>0</v>
      </c>
      <c r="D49" s="43">
        <f>'Paste here'!E88</f>
        <v>0</v>
      </c>
      <c r="E49" s="75"/>
      <c r="F49" s="75"/>
      <c r="G49" s="75"/>
      <c r="J49" s="9"/>
    </row>
    <row r="50" spans="1:10" s="12" customFormat="1" ht="14">
      <c r="A50" s="38" t="s">
        <v>67</v>
      </c>
      <c r="B50" s="43">
        <f>'Paste here'!B89</f>
        <v>0</v>
      </c>
      <c r="C50" s="43">
        <f>'Paste here'!D89</f>
        <v>0</v>
      </c>
      <c r="D50" s="43">
        <f>'Paste here'!E89</f>
        <v>0</v>
      </c>
      <c r="E50" s="75"/>
      <c r="F50" s="75"/>
      <c r="G50" s="75"/>
      <c r="J50" s="9"/>
    </row>
    <row r="51" spans="1:10" s="12" customFormat="1" ht="14">
      <c r="A51" s="38"/>
      <c r="B51" s="43"/>
      <c r="C51" s="43"/>
      <c r="D51" s="43"/>
      <c r="E51" s="75"/>
      <c r="F51" s="75"/>
      <c r="G51" s="75"/>
      <c r="J51" s="9"/>
    </row>
    <row r="52" spans="1:10" s="12" customFormat="1" ht="14">
      <c r="A52" s="38" t="s">
        <v>63</v>
      </c>
      <c r="B52" s="39"/>
      <c r="C52" s="39"/>
      <c r="D52" s="39"/>
      <c r="E52" s="75"/>
      <c r="F52" s="75"/>
      <c r="G52" s="75"/>
      <c r="J52" s="9"/>
    </row>
    <row r="53" spans="1:10" s="12" customFormat="1" ht="14">
      <c r="A53" s="38" t="s">
        <v>78</v>
      </c>
      <c r="B53" s="43">
        <f>'Paste here'!B90</f>
        <v>0</v>
      </c>
      <c r="C53" s="43">
        <f>'Paste here'!D90</f>
        <v>0</v>
      </c>
      <c r="D53" s="43">
        <f>'Paste here'!E90</f>
        <v>0</v>
      </c>
      <c r="E53" s="75"/>
      <c r="F53" s="75"/>
      <c r="G53" s="75"/>
      <c r="J53" s="9"/>
    </row>
    <row r="54" spans="1:10" s="12" customFormat="1" ht="14">
      <c r="A54" s="38" t="s">
        <v>79</v>
      </c>
      <c r="B54" s="43">
        <f>'Paste here'!B91</f>
        <v>0</v>
      </c>
      <c r="C54" s="43">
        <f>'Paste here'!D91</f>
        <v>0</v>
      </c>
      <c r="D54" s="43">
        <f>'Paste here'!E91</f>
        <v>0</v>
      </c>
      <c r="E54" s="75"/>
      <c r="F54" s="75"/>
      <c r="G54" s="75"/>
      <c r="J54" s="9"/>
    </row>
    <row r="55" spans="1:10" s="12" customFormat="1" ht="14">
      <c r="A55" s="38" t="s">
        <v>67</v>
      </c>
      <c r="B55" s="43">
        <f>'Paste here'!B92</f>
        <v>0</v>
      </c>
      <c r="C55" s="43">
        <f>'Paste here'!D92</f>
        <v>0</v>
      </c>
      <c r="D55" s="43">
        <f>'Paste here'!E92</f>
        <v>0</v>
      </c>
      <c r="E55" s="75"/>
      <c r="F55" s="75"/>
      <c r="G55" s="75"/>
      <c r="J55" s="9"/>
    </row>
    <row r="56" spans="1:10" s="12" customFormat="1" ht="14">
      <c r="A56" s="38"/>
      <c r="B56" s="43"/>
      <c r="C56" s="43"/>
      <c r="D56" s="43"/>
      <c r="E56" s="75"/>
      <c r="F56" s="75"/>
      <c r="G56" s="75"/>
      <c r="J56" s="9"/>
    </row>
    <row r="57" spans="1:10" s="12" customFormat="1" ht="14">
      <c r="A57" s="38"/>
      <c r="B57" s="43"/>
      <c r="C57" s="43"/>
      <c r="D57" s="43"/>
      <c r="E57" s="75"/>
      <c r="F57" s="75"/>
      <c r="G57" s="75"/>
      <c r="J57" s="9"/>
    </row>
    <row r="58" spans="1:10" s="12" customFormat="1" ht="14">
      <c r="A58" s="38"/>
      <c r="B58" s="43"/>
      <c r="C58" s="43"/>
      <c r="D58" s="43"/>
      <c r="E58" s="75"/>
      <c r="F58" s="75"/>
      <c r="G58" s="75"/>
      <c r="J58" s="9"/>
    </row>
    <row r="59" spans="1:10" s="12" customFormat="1" ht="14">
      <c r="A59" s="41" t="s">
        <v>142</v>
      </c>
      <c r="B59" s="44"/>
      <c r="C59" s="44"/>
      <c r="D59" s="44"/>
      <c r="E59" s="75"/>
      <c r="F59" s="75"/>
      <c r="G59" s="75"/>
      <c r="H59" s="6"/>
    </row>
    <row r="60" spans="1:10" s="12" customFormat="1" ht="14">
      <c r="A60" s="38" t="s">
        <v>146</v>
      </c>
      <c r="B60" s="39" t="s">
        <v>4</v>
      </c>
      <c r="C60" s="39" t="s">
        <v>5</v>
      </c>
      <c r="D60" s="39" t="s">
        <v>6</v>
      </c>
      <c r="E60" s="75"/>
      <c r="F60" s="75"/>
      <c r="G60" s="75"/>
      <c r="J60" s="9"/>
    </row>
    <row r="61" spans="1:10" s="12" customFormat="1" ht="14">
      <c r="A61" s="41" t="s">
        <v>142</v>
      </c>
      <c r="B61" s="44"/>
      <c r="C61" s="44"/>
      <c r="D61" s="44"/>
      <c r="E61" s="75"/>
      <c r="F61" s="75"/>
      <c r="G61" s="75"/>
      <c r="H61" s="6"/>
    </row>
    <row r="62" spans="1:10" s="12" customFormat="1" ht="14">
      <c r="A62" s="38" t="s">
        <v>110</v>
      </c>
      <c r="B62" s="39"/>
      <c r="C62" s="39"/>
      <c r="D62" s="39"/>
      <c r="E62" s="75"/>
      <c r="F62" s="75"/>
      <c r="G62" s="75"/>
      <c r="J62" s="9"/>
    </row>
    <row r="63" spans="1:10" s="12" customFormat="1" ht="14">
      <c r="A63" s="38" t="s">
        <v>80</v>
      </c>
      <c r="B63" s="43">
        <f>'Paste here'!B98</f>
        <v>0</v>
      </c>
      <c r="C63" s="43">
        <f>'Paste here'!D98</f>
        <v>0</v>
      </c>
      <c r="D63" s="43">
        <f>'Paste here'!E98</f>
        <v>0</v>
      </c>
      <c r="E63" s="75"/>
      <c r="F63" s="75"/>
      <c r="G63" s="75"/>
      <c r="J63" s="9"/>
    </row>
    <row r="64" spans="1:10" s="12" customFormat="1" ht="14">
      <c r="A64" s="38" t="s">
        <v>81</v>
      </c>
      <c r="B64" s="43">
        <f>'Paste here'!B99</f>
        <v>0</v>
      </c>
      <c r="C64" s="43">
        <f>'Paste here'!D99</f>
        <v>0</v>
      </c>
      <c r="D64" s="43">
        <f>'Paste here'!E99</f>
        <v>0</v>
      </c>
      <c r="E64" s="75"/>
      <c r="F64" s="75"/>
      <c r="G64" s="75"/>
      <c r="J64" s="9"/>
    </row>
    <row r="65" spans="1:10" s="12" customFormat="1" ht="14">
      <c r="A65" s="38" t="s">
        <v>82</v>
      </c>
      <c r="B65" s="43">
        <f>'Paste here'!B100</f>
        <v>0</v>
      </c>
      <c r="C65" s="43">
        <f>'Paste here'!D100</f>
        <v>0</v>
      </c>
      <c r="D65" s="43">
        <f>'Paste here'!E100</f>
        <v>0</v>
      </c>
      <c r="E65" s="75"/>
      <c r="F65" s="75"/>
      <c r="G65" s="75"/>
      <c r="J65" s="9"/>
    </row>
    <row r="66" spans="1:10" s="12" customFormat="1" ht="14">
      <c r="A66" s="38" t="s">
        <v>83</v>
      </c>
      <c r="B66" s="43">
        <f>'Paste here'!B101</f>
        <v>0</v>
      </c>
      <c r="C66" s="43">
        <f>'Paste here'!D101</f>
        <v>0</v>
      </c>
      <c r="D66" s="43">
        <f>'Paste here'!E101</f>
        <v>0</v>
      </c>
      <c r="E66" s="75"/>
      <c r="F66" s="75"/>
      <c r="G66" s="75"/>
      <c r="J66" s="9"/>
    </row>
    <row r="67" spans="1:10" s="12" customFormat="1" ht="14">
      <c r="A67" s="38"/>
      <c r="B67" s="43"/>
      <c r="C67" s="43"/>
      <c r="D67" s="43"/>
      <c r="E67" s="75"/>
      <c r="F67" s="75"/>
      <c r="G67" s="75"/>
      <c r="J67" s="9"/>
    </row>
    <row r="68" spans="1:10" s="12" customFormat="1" ht="14">
      <c r="A68" s="38"/>
      <c r="B68" s="43"/>
      <c r="C68" s="43"/>
      <c r="D68" s="43"/>
      <c r="E68" s="75"/>
      <c r="F68" s="75"/>
      <c r="G68" s="75"/>
      <c r="J68" s="9"/>
    </row>
    <row r="69" spans="1:10" s="12" customFormat="1" ht="14">
      <c r="A69" s="38"/>
      <c r="B69" s="43"/>
      <c r="C69" s="43"/>
      <c r="D69" s="43"/>
      <c r="E69" s="75"/>
      <c r="F69" s="75"/>
      <c r="G69" s="75"/>
      <c r="J69" s="9"/>
    </row>
    <row r="70" spans="1:10" s="12" customFormat="1" ht="14">
      <c r="A70" s="41" t="s">
        <v>142</v>
      </c>
      <c r="B70" s="44"/>
      <c r="C70" s="44"/>
      <c r="D70" s="44"/>
      <c r="E70" s="75"/>
      <c r="F70" s="75"/>
      <c r="G70" s="75"/>
      <c r="H70" s="6"/>
    </row>
    <row r="71" spans="1:10" s="12" customFormat="1" ht="14">
      <c r="A71" s="38" t="s">
        <v>147</v>
      </c>
      <c r="B71" s="39" t="s">
        <v>4</v>
      </c>
      <c r="C71" s="39" t="s">
        <v>5</v>
      </c>
      <c r="D71" s="39" t="s">
        <v>6</v>
      </c>
      <c r="E71" s="75"/>
      <c r="F71" s="75"/>
      <c r="G71" s="75"/>
      <c r="J71" s="9"/>
    </row>
    <row r="72" spans="1:10" s="12" customFormat="1" ht="14">
      <c r="A72" s="41" t="s">
        <v>142</v>
      </c>
      <c r="B72" s="44"/>
      <c r="C72" s="44"/>
      <c r="D72" s="44"/>
      <c r="E72" s="75"/>
      <c r="F72" s="75"/>
      <c r="G72" s="75"/>
      <c r="H72" s="6"/>
    </row>
    <row r="73" spans="1:10" s="12" customFormat="1" ht="14">
      <c r="A73" s="38" t="s">
        <v>111</v>
      </c>
      <c r="B73" s="40"/>
      <c r="C73" s="40"/>
      <c r="D73" s="40"/>
      <c r="E73" s="75"/>
      <c r="F73" s="75"/>
      <c r="G73" s="75"/>
      <c r="J73" s="9"/>
    </row>
    <row r="74" spans="1:10" s="12" customFormat="1" ht="14">
      <c r="A74" s="38" t="s">
        <v>84</v>
      </c>
      <c r="B74" s="43">
        <f>'Paste here'!B120</f>
        <v>0</v>
      </c>
      <c r="C74" s="43">
        <f>'Paste here'!D120</f>
        <v>0</v>
      </c>
      <c r="D74" s="43">
        <f>'Paste here'!E120</f>
        <v>0</v>
      </c>
      <c r="E74" s="75"/>
      <c r="F74" s="75"/>
      <c r="G74" s="75"/>
      <c r="J74" s="9"/>
    </row>
    <row r="75" spans="1:10" s="12" customFormat="1" ht="14">
      <c r="A75" s="38" t="s">
        <v>85</v>
      </c>
      <c r="B75" s="43">
        <f>'Paste here'!B121</f>
        <v>0</v>
      </c>
      <c r="C75" s="43">
        <f>'Paste here'!D121</f>
        <v>0</v>
      </c>
      <c r="D75" s="43">
        <f>'Paste here'!E121</f>
        <v>0</v>
      </c>
      <c r="E75" s="75"/>
      <c r="F75" s="75"/>
      <c r="G75" s="75"/>
      <c r="J75" s="9"/>
    </row>
    <row r="76" spans="1:10" s="12" customFormat="1" ht="14">
      <c r="A76" s="38" t="s">
        <v>86</v>
      </c>
      <c r="B76" s="43">
        <f>'Paste here'!B122</f>
        <v>0</v>
      </c>
      <c r="C76" s="43">
        <f>'Paste here'!D122</f>
        <v>0</v>
      </c>
      <c r="D76" s="43">
        <f>'Paste here'!E122</f>
        <v>0</v>
      </c>
      <c r="E76" s="75"/>
      <c r="F76" s="75"/>
      <c r="G76" s="75"/>
      <c r="J76" s="9"/>
    </row>
    <row r="77" spans="1:10" s="12" customFormat="1" ht="14">
      <c r="A77" s="38" t="s">
        <v>87</v>
      </c>
      <c r="B77" s="43">
        <f>'Paste here'!B123</f>
        <v>0</v>
      </c>
      <c r="C77" s="43">
        <f>'Paste here'!D123</f>
        <v>0</v>
      </c>
      <c r="D77" s="43">
        <f>'Paste here'!E123</f>
        <v>0</v>
      </c>
      <c r="E77" s="75"/>
      <c r="F77" s="75"/>
      <c r="G77" s="75"/>
      <c r="J77" s="9"/>
    </row>
    <row r="78" spans="1:10" s="12" customFormat="1" ht="14">
      <c r="A78" s="38" t="s">
        <v>88</v>
      </c>
      <c r="B78" s="43">
        <f>'Paste here'!B124</f>
        <v>0</v>
      </c>
      <c r="C78" s="43">
        <f>'Paste here'!D124</f>
        <v>0</v>
      </c>
      <c r="D78" s="43">
        <f>'Paste here'!E124</f>
        <v>0</v>
      </c>
      <c r="E78" s="75"/>
      <c r="F78" s="75"/>
      <c r="G78" s="75"/>
      <c r="J78" s="9"/>
    </row>
    <row r="79" spans="1:10" s="12" customFormat="1" ht="14">
      <c r="A79" s="38" t="s">
        <v>89</v>
      </c>
      <c r="B79" s="43">
        <f>'Paste here'!B125</f>
        <v>0</v>
      </c>
      <c r="C79" s="43">
        <f>'Paste here'!D125</f>
        <v>0</v>
      </c>
      <c r="D79" s="43">
        <f>'Paste here'!E125</f>
        <v>0</v>
      </c>
      <c r="E79" s="75"/>
      <c r="F79" s="75"/>
      <c r="G79" s="75"/>
      <c r="J79" s="9"/>
    </row>
    <row r="80" spans="1:10" s="12" customFormat="1" ht="14">
      <c r="A80" s="38" t="s">
        <v>90</v>
      </c>
      <c r="B80" s="43">
        <f>'Paste here'!B126</f>
        <v>0</v>
      </c>
      <c r="C80" s="43">
        <f>'Paste here'!D126</f>
        <v>0</v>
      </c>
      <c r="D80" s="43">
        <f>'Paste here'!E126</f>
        <v>0</v>
      </c>
      <c r="E80" s="75"/>
      <c r="F80" s="75"/>
      <c r="G80" s="75"/>
      <c r="J80" s="9"/>
    </row>
    <row r="81" spans="1:10" s="12" customFormat="1" ht="14">
      <c r="A81" s="38"/>
      <c r="B81" s="43"/>
      <c r="C81" s="43"/>
      <c r="D81" s="43"/>
      <c r="E81" s="75"/>
      <c r="F81" s="75"/>
      <c r="G81" s="75"/>
    </row>
    <row r="82" spans="1:10" s="12" customFormat="1" ht="14">
      <c r="A82" s="38" t="s">
        <v>112</v>
      </c>
      <c r="B82" s="39"/>
      <c r="C82" s="39"/>
      <c r="D82" s="39"/>
      <c r="E82" s="75"/>
      <c r="F82" s="75"/>
      <c r="G82" s="75"/>
    </row>
    <row r="83" spans="1:10" s="12" customFormat="1" ht="14">
      <c r="A83" s="38" t="s">
        <v>91</v>
      </c>
      <c r="B83" s="43">
        <f>'Paste here'!B127</f>
        <v>0</v>
      </c>
      <c r="C83" s="43">
        <f>'Paste here'!D127</f>
        <v>0</v>
      </c>
      <c r="D83" s="43">
        <f>'Paste here'!E127</f>
        <v>0</v>
      </c>
      <c r="E83" s="75"/>
      <c r="F83" s="75"/>
      <c r="G83" s="75"/>
      <c r="J83" s="9"/>
    </row>
    <row r="84" spans="1:10" s="12" customFormat="1" ht="14">
      <c r="A84" s="38"/>
      <c r="B84" s="43"/>
      <c r="C84" s="43"/>
      <c r="D84" s="43"/>
      <c r="E84" s="75"/>
      <c r="F84" s="75"/>
      <c r="G84" s="75"/>
      <c r="J84" s="9"/>
    </row>
    <row r="85" spans="1:10" s="12" customFormat="1" ht="14">
      <c r="A85" s="38"/>
      <c r="B85" s="43"/>
      <c r="C85" s="43"/>
      <c r="D85" s="43"/>
      <c r="E85" s="75"/>
      <c r="F85" s="75"/>
      <c r="G85" s="75"/>
      <c r="J85" s="9"/>
    </row>
    <row r="86" spans="1:10" s="12" customFormat="1" ht="14">
      <c r="A86" s="38"/>
      <c r="B86" s="43"/>
      <c r="C86" s="43"/>
      <c r="D86" s="43"/>
      <c r="E86" s="75"/>
      <c r="F86" s="75"/>
      <c r="G86" s="75"/>
      <c r="J86" s="9"/>
    </row>
    <row r="87" spans="1:10" s="12" customFormat="1" ht="14">
      <c r="A87" s="41" t="s">
        <v>142</v>
      </c>
      <c r="B87" s="44"/>
      <c r="C87" s="44"/>
      <c r="D87" s="44"/>
      <c r="E87" s="75"/>
      <c r="F87" s="75"/>
      <c r="G87" s="75"/>
      <c r="H87" s="6"/>
    </row>
    <row r="88" spans="1:10" s="12" customFormat="1" ht="14">
      <c r="A88" s="38" t="s">
        <v>148</v>
      </c>
      <c r="B88" s="39" t="s">
        <v>4</v>
      </c>
      <c r="C88" s="39" t="s">
        <v>5</v>
      </c>
      <c r="D88" s="39" t="s">
        <v>6</v>
      </c>
      <c r="E88" s="75"/>
      <c r="F88" s="75"/>
      <c r="G88" s="75"/>
    </row>
    <row r="89" spans="1:10" s="12" customFormat="1" ht="14">
      <c r="A89" s="41" t="s">
        <v>142</v>
      </c>
      <c r="B89" s="44"/>
      <c r="C89" s="44"/>
      <c r="D89" s="44"/>
      <c r="E89" s="75"/>
      <c r="F89" s="75"/>
      <c r="G89" s="75"/>
      <c r="H89" s="6"/>
    </row>
    <row r="90" spans="1:10" s="12" customFormat="1" ht="14">
      <c r="A90" s="38" t="s">
        <v>111</v>
      </c>
      <c r="B90" s="39"/>
      <c r="C90" s="39"/>
      <c r="D90" s="39"/>
      <c r="E90" s="75"/>
      <c r="F90" s="75"/>
      <c r="G90" s="75"/>
    </row>
    <row r="91" spans="1:10" s="12" customFormat="1" ht="14">
      <c r="A91" s="38" t="s">
        <v>92</v>
      </c>
      <c r="B91" s="43">
        <f>'Paste here'!B134</f>
        <v>0</v>
      </c>
      <c r="C91" s="43">
        <f>'Paste here'!D134</f>
        <v>0</v>
      </c>
      <c r="D91" s="43">
        <f>'Paste here'!E134</f>
        <v>0</v>
      </c>
      <c r="E91" s="75"/>
      <c r="F91" s="75"/>
      <c r="G91" s="75"/>
      <c r="J91" s="9"/>
    </row>
    <row r="92" spans="1:10" s="12" customFormat="1" ht="14">
      <c r="A92" s="38" t="s">
        <v>93</v>
      </c>
      <c r="B92" s="43">
        <f>'Paste here'!B135</f>
        <v>0</v>
      </c>
      <c r="C92" s="43">
        <f>'Paste here'!D135</f>
        <v>0</v>
      </c>
      <c r="D92" s="43">
        <f>'Paste here'!E135</f>
        <v>0</v>
      </c>
      <c r="E92" s="75"/>
      <c r="F92" s="75"/>
      <c r="G92" s="75"/>
      <c r="J92" s="9"/>
    </row>
    <row r="93" spans="1:10" s="12" customFormat="1" ht="14">
      <c r="A93" s="38" t="s">
        <v>94</v>
      </c>
      <c r="B93" s="43">
        <f>'Paste here'!B136</f>
        <v>0</v>
      </c>
      <c r="C93" s="43">
        <f>'Paste here'!D136</f>
        <v>0</v>
      </c>
      <c r="D93" s="43">
        <f>'Paste here'!E136</f>
        <v>0</v>
      </c>
      <c r="E93" s="75"/>
      <c r="F93" s="75"/>
      <c r="G93" s="75"/>
      <c r="J93" s="9"/>
    </row>
    <row r="94" spans="1:10" s="12" customFormat="1" ht="14">
      <c r="A94" s="38"/>
      <c r="B94" s="43"/>
      <c r="C94" s="43"/>
      <c r="D94" s="43"/>
      <c r="E94" s="75"/>
      <c r="F94" s="75"/>
      <c r="G94" s="75"/>
    </row>
    <row r="95" spans="1:10" s="12" customFormat="1" ht="14">
      <c r="A95" s="38" t="s">
        <v>113</v>
      </c>
      <c r="B95" s="39"/>
      <c r="C95" s="39"/>
      <c r="D95" s="39"/>
      <c r="E95" s="75"/>
      <c r="F95" s="75"/>
      <c r="G95" s="75"/>
    </row>
    <row r="96" spans="1:10" s="12" customFormat="1" ht="14">
      <c r="A96" s="38" t="s">
        <v>95</v>
      </c>
      <c r="B96" s="43">
        <f>'Paste here'!B139</f>
        <v>0</v>
      </c>
      <c r="C96" s="43">
        <f>'Paste here'!D139</f>
        <v>0</v>
      </c>
      <c r="D96" s="43">
        <f>'Paste here'!E139</f>
        <v>0</v>
      </c>
      <c r="E96" s="75"/>
      <c r="F96" s="75"/>
      <c r="G96" s="75"/>
      <c r="J96" s="9"/>
    </row>
    <row r="97" spans="1:10" s="12" customFormat="1" ht="14">
      <c r="A97" s="38" t="s">
        <v>96</v>
      </c>
      <c r="B97" s="43">
        <f>'Paste here'!B140</f>
        <v>0</v>
      </c>
      <c r="C97" s="43">
        <f>'Paste here'!D140</f>
        <v>0</v>
      </c>
      <c r="D97" s="43">
        <f>'Paste here'!E140</f>
        <v>0</v>
      </c>
      <c r="E97" s="75"/>
      <c r="F97" s="75"/>
      <c r="G97" s="75"/>
      <c r="J97" s="9"/>
    </row>
    <row r="98" spans="1:10" s="12" customFormat="1" ht="14">
      <c r="A98" s="38" t="s">
        <v>97</v>
      </c>
      <c r="B98" s="43">
        <f>'Paste here'!B141</f>
        <v>0</v>
      </c>
      <c r="C98" s="43">
        <f>'Paste here'!D141</f>
        <v>0</v>
      </c>
      <c r="D98" s="43">
        <f>'Paste here'!E141</f>
        <v>0</v>
      </c>
      <c r="E98" s="75"/>
      <c r="F98" s="75"/>
      <c r="G98" s="75"/>
      <c r="J98" s="9"/>
    </row>
    <row r="99" spans="1:10" s="12" customFormat="1" ht="14">
      <c r="A99" s="38"/>
      <c r="B99" s="43"/>
      <c r="C99" s="43"/>
      <c r="D99" s="43"/>
      <c r="E99" s="75"/>
      <c r="F99" s="75"/>
      <c r="G99" s="75"/>
    </row>
    <row r="100" spans="1:10" s="12" customFormat="1" ht="14">
      <c r="A100" s="38" t="s">
        <v>114</v>
      </c>
      <c r="B100" s="39"/>
      <c r="C100" s="39"/>
      <c r="D100" s="39"/>
      <c r="E100" s="75"/>
      <c r="F100" s="75"/>
      <c r="G100" s="75"/>
    </row>
    <row r="101" spans="1:10" s="12" customFormat="1" ht="14">
      <c r="A101" s="38" t="s">
        <v>98</v>
      </c>
      <c r="B101" s="43">
        <f>'Paste here'!B142</f>
        <v>0</v>
      </c>
      <c r="C101" s="43">
        <f>'Paste here'!D142</f>
        <v>0</v>
      </c>
      <c r="D101" s="43">
        <f>'Paste here'!E142</f>
        <v>0</v>
      </c>
      <c r="E101" s="75"/>
      <c r="F101" s="75"/>
      <c r="G101" s="75"/>
      <c r="J101" s="9"/>
    </row>
    <row r="102" spans="1:10" s="12" customFormat="1" ht="14">
      <c r="A102" s="38" t="s">
        <v>99</v>
      </c>
      <c r="B102" s="43">
        <f>'Paste here'!B143</f>
        <v>0</v>
      </c>
      <c r="C102" s="43">
        <f>'Paste here'!D143</f>
        <v>0</v>
      </c>
      <c r="D102" s="43">
        <f>'Paste here'!E143</f>
        <v>0</v>
      </c>
      <c r="E102" s="75"/>
      <c r="F102" s="75"/>
      <c r="G102" s="75"/>
      <c r="J102" s="9"/>
    </row>
    <row r="103" spans="1:10" s="12" customFormat="1" ht="14">
      <c r="A103" s="38" t="s">
        <v>100</v>
      </c>
      <c r="B103" s="43"/>
      <c r="C103" s="43"/>
      <c r="D103" s="43"/>
      <c r="E103" s="75"/>
      <c r="F103" s="75"/>
      <c r="G103" s="75"/>
      <c r="J103" s="9"/>
    </row>
    <row r="104" spans="1:10" s="12" customFormat="1" ht="14">
      <c r="A104" s="38" t="s">
        <v>101</v>
      </c>
      <c r="B104" s="43"/>
      <c r="C104" s="43"/>
      <c r="D104" s="43"/>
      <c r="E104" s="75"/>
      <c r="F104" s="75"/>
      <c r="G104" s="75"/>
      <c r="J104" s="9"/>
    </row>
    <row r="105" spans="1:10" s="12" customFormat="1" ht="14">
      <c r="A105" s="38" t="s">
        <v>102</v>
      </c>
      <c r="B105" s="43"/>
      <c r="C105" s="43"/>
      <c r="D105" s="43"/>
      <c r="E105" s="75"/>
      <c r="F105" s="75"/>
      <c r="G105" s="75"/>
      <c r="J105" s="9"/>
    </row>
    <row r="106" spans="1:10" s="12" customFormat="1" ht="14">
      <c r="A106" s="38" t="s">
        <v>103</v>
      </c>
      <c r="B106" s="43"/>
      <c r="C106" s="43"/>
      <c r="D106" s="43"/>
      <c r="E106" s="75"/>
      <c r="F106" s="75"/>
      <c r="G106" s="75"/>
      <c r="J106" s="9"/>
    </row>
    <row r="107" spans="1:10" s="12" customFormat="1" ht="14">
      <c r="A107" s="38" t="s">
        <v>104</v>
      </c>
      <c r="B107" s="43"/>
      <c r="C107" s="43"/>
      <c r="D107" s="43"/>
      <c r="E107" s="75"/>
      <c r="F107" s="75"/>
      <c r="G107" s="75"/>
      <c r="J107" s="9"/>
    </row>
    <row r="108" spans="1:10" s="12" customFormat="1" ht="14">
      <c r="A108" s="38"/>
      <c r="B108" s="43"/>
      <c r="C108" s="43"/>
      <c r="D108" s="43"/>
      <c r="E108" s="75"/>
      <c r="F108" s="75"/>
      <c r="G108" s="75"/>
      <c r="J108" s="9"/>
    </row>
    <row r="109" spans="1:10" s="12" customFormat="1" ht="14">
      <c r="A109" s="38"/>
      <c r="B109" s="43"/>
      <c r="C109" s="43"/>
      <c r="D109" s="43"/>
      <c r="E109" s="75"/>
      <c r="F109" s="75"/>
      <c r="G109" s="75"/>
      <c r="J109" s="9"/>
    </row>
    <row r="110" spans="1:10" s="12" customFormat="1" ht="14">
      <c r="A110" s="38"/>
      <c r="B110" s="43"/>
      <c r="C110" s="43"/>
      <c r="D110" s="43"/>
      <c r="E110" s="75"/>
      <c r="F110" s="75"/>
      <c r="G110" s="75"/>
      <c r="J110" s="9"/>
    </row>
    <row r="111" spans="1:10" s="12" customFormat="1" ht="14">
      <c r="A111" s="41" t="s">
        <v>142</v>
      </c>
      <c r="B111" s="44"/>
      <c r="C111" s="44"/>
      <c r="D111" s="44"/>
      <c r="E111" s="75"/>
      <c r="F111" s="75"/>
      <c r="G111" s="75"/>
      <c r="H111" s="6"/>
    </row>
    <row r="112" spans="1:10" s="12" customFormat="1" ht="14">
      <c r="A112" s="38" t="s">
        <v>149</v>
      </c>
      <c r="B112" s="39" t="s">
        <v>4</v>
      </c>
      <c r="C112" s="39" t="s">
        <v>5</v>
      </c>
      <c r="D112" s="39" t="s">
        <v>6</v>
      </c>
      <c r="E112" s="75"/>
      <c r="F112" s="75"/>
      <c r="G112" s="75"/>
    </row>
    <row r="113" spans="1:10" s="12" customFormat="1" ht="14">
      <c r="A113" s="41" t="s">
        <v>142</v>
      </c>
      <c r="B113" s="44"/>
      <c r="C113" s="44"/>
      <c r="D113" s="44"/>
      <c r="E113" s="75"/>
      <c r="F113" s="75"/>
      <c r="G113" s="75"/>
      <c r="H113" s="6"/>
    </row>
    <row r="114" spans="1:10" s="12" customFormat="1" ht="14">
      <c r="A114" s="38" t="s">
        <v>2</v>
      </c>
      <c r="B114" s="39"/>
      <c r="C114" s="39"/>
      <c r="D114" s="39"/>
      <c r="E114" s="75"/>
      <c r="F114" s="75"/>
      <c r="G114" s="75"/>
    </row>
    <row r="115" spans="1:10" s="12" customFormat="1" ht="14">
      <c r="A115" s="38" t="s">
        <v>154</v>
      </c>
      <c r="B115" s="39"/>
      <c r="C115" s="39"/>
      <c r="D115" s="39"/>
      <c r="E115" s="75"/>
      <c r="F115" s="75"/>
      <c r="G115" s="75"/>
    </row>
    <row r="116" spans="1:10" s="12" customFormat="1" ht="14">
      <c r="A116" s="38" t="s">
        <v>105</v>
      </c>
      <c r="B116" s="43">
        <f>'Paste here'!B150</f>
        <v>0</v>
      </c>
      <c r="C116" s="43">
        <f>'Paste here'!D150</f>
        <v>0</v>
      </c>
      <c r="D116" s="43">
        <f>'Paste here'!E150</f>
        <v>0</v>
      </c>
      <c r="E116" s="75"/>
      <c r="F116" s="75"/>
      <c r="G116" s="75"/>
      <c r="J116" s="9"/>
    </row>
    <row r="117" spans="1:10" s="12" customFormat="1" ht="14">
      <c r="A117" s="38" t="s">
        <v>101</v>
      </c>
      <c r="B117" s="43">
        <f>'Paste here'!B151</f>
        <v>0</v>
      </c>
      <c r="C117" s="43">
        <f>'Paste here'!D151</f>
        <v>0</v>
      </c>
      <c r="D117" s="43">
        <f>'Paste here'!E151</f>
        <v>0</v>
      </c>
      <c r="E117" s="75"/>
      <c r="F117" s="75"/>
      <c r="G117" s="75"/>
      <c r="J117" s="9"/>
    </row>
    <row r="118" spans="1:10" s="12" customFormat="1" ht="14">
      <c r="A118" s="38" t="s">
        <v>106</v>
      </c>
      <c r="B118" s="43">
        <f>'Paste here'!B152</f>
        <v>0</v>
      </c>
      <c r="C118" s="43">
        <f>'Paste here'!D152</f>
        <v>0</v>
      </c>
      <c r="D118" s="43">
        <f>'Paste here'!E152</f>
        <v>0</v>
      </c>
      <c r="E118" s="75"/>
      <c r="F118" s="75"/>
      <c r="G118" s="75"/>
      <c r="J118" s="9"/>
    </row>
    <row r="119" spans="1:10" s="12" customFormat="1" ht="14">
      <c r="A119" s="38" t="s">
        <v>102</v>
      </c>
      <c r="B119" s="43">
        <f>'Paste here'!B153</f>
        <v>0</v>
      </c>
      <c r="C119" s="43">
        <f>'Paste here'!D153</f>
        <v>0</v>
      </c>
      <c r="D119" s="43">
        <f>'Paste here'!E153</f>
        <v>0</v>
      </c>
      <c r="E119" s="75"/>
      <c r="F119" s="75"/>
      <c r="G119" s="75"/>
      <c r="J119" s="9"/>
    </row>
    <row r="120" spans="1:10" s="12" customFormat="1" ht="14">
      <c r="A120" s="38" t="s">
        <v>103</v>
      </c>
      <c r="B120" s="43"/>
      <c r="C120" s="43"/>
      <c r="D120" s="43"/>
      <c r="E120" s="75"/>
      <c r="F120" s="75"/>
      <c r="G120" s="75"/>
      <c r="J120" s="9"/>
    </row>
    <row r="121" spans="1:10" s="12" customFormat="1" ht="14">
      <c r="A121" s="38" t="s">
        <v>104</v>
      </c>
      <c r="B121" s="43"/>
      <c r="C121" s="43"/>
      <c r="D121" s="43"/>
      <c r="E121" s="75"/>
      <c r="F121" s="75"/>
      <c r="G121" s="75"/>
      <c r="J121" s="9"/>
    </row>
    <row r="122" spans="1:10" s="12" customFormat="1" ht="14">
      <c r="A122" s="38"/>
      <c r="B122" s="43"/>
      <c r="C122" s="43"/>
      <c r="D122" s="43"/>
      <c r="E122" s="75"/>
      <c r="F122" s="75"/>
      <c r="G122" s="75"/>
    </row>
    <row r="123" spans="1:10" s="12" customFormat="1" ht="14">
      <c r="A123" s="38" t="s">
        <v>3</v>
      </c>
      <c r="B123" s="39"/>
      <c r="C123" s="39"/>
      <c r="D123" s="39"/>
      <c r="E123" s="75"/>
      <c r="F123" s="75"/>
      <c r="G123" s="75"/>
    </row>
    <row r="124" spans="1:10" s="12" customFormat="1" ht="14">
      <c r="A124" s="38" t="s">
        <v>154</v>
      </c>
      <c r="B124" s="39"/>
      <c r="C124" s="39"/>
      <c r="D124" s="39"/>
      <c r="E124" s="75"/>
      <c r="F124" s="75"/>
      <c r="G124" s="75"/>
      <c r="J124" s="9"/>
    </row>
    <row r="125" spans="1:10" s="12" customFormat="1" ht="14">
      <c r="A125" s="38" t="s">
        <v>105</v>
      </c>
      <c r="B125" s="43">
        <f>'Paste here'!B154</f>
        <v>0</v>
      </c>
      <c r="C125" s="43">
        <f>'Paste here'!D154</f>
        <v>0</v>
      </c>
      <c r="D125" s="43">
        <f>'Paste here'!E154</f>
        <v>0</v>
      </c>
      <c r="E125" s="75"/>
      <c r="F125" s="75"/>
      <c r="G125" s="75"/>
      <c r="J125" s="9"/>
    </row>
    <row r="126" spans="1:10" s="12" customFormat="1" ht="14">
      <c r="A126" s="38" t="s">
        <v>101</v>
      </c>
      <c r="B126" s="43">
        <f>'Paste here'!B155</f>
        <v>0</v>
      </c>
      <c r="C126" s="43">
        <f>'Paste here'!D155</f>
        <v>0</v>
      </c>
      <c r="D126" s="43">
        <f>'Paste here'!E155</f>
        <v>0</v>
      </c>
      <c r="E126" s="75"/>
      <c r="F126" s="75"/>
      <c r="G126" s="75"/>
      <c r="J126" s="9"/>
    </row>
    <row r="127" spans="1:10" s="12" customFormat="1" ht="14">
      <c r="A127" s="38" t="s">
        <v>106</v>
      </c>
      <c r="B127" s="43">
        <f>'Paste here'!B156</f>
        <v>0</v>
      </c>
      <c r="C127" s="43">
        <f>'Paste here'!D156</f>
        <v>0</v>
      </c>
      <c r="D127" s="43">
        <f>'Paste here'!E156</f>
        <v>0</v>
      </c>
      <c r="E127" s="75"/>
      <c r="F127" s="75"/>
      <c r="G127" s="75"/>
      <c r="J127" s="9"/>
    </row>
    <row r="128" spans="1:10" s="12" customFormat="1" ht="14">
      <c r="A128" s="38" t="s">
        <v>102</v>
      </c>
      <c r="B128" s="43">
        <f>'Paste here'!B157</f>
        <v>0</v>
      </c>
      <c r="C128" s="43">
        <f>'Paste here'!D157</f>
        <v>0</v>
      </c>
      <c r="D128" s="43">
        <f>'Paste here'!E157</f>
        <v>0</v>
      </c>
      <c r="E128" s="75"/>
      <c r="F128" s="75"/>
      <c r="G128" s="75"/>
      <c r="J128" s="9"/>
    </row>
    <row r="129" spans="1:10" s="12" customFormat="1" ht="14">
      <c r="A129" s="38" t="s">
        <v>103</v>
      </c>
      <c r="B129" s="39"/>
      <c r="C129" s="39"/>
      <c r="D129" s="39"/>
      <c r="E129" s="75"/>
      <c r="F129" s="75"/>
      <c r="G129" s="75"/>
      <c r="J129" s="9"/>
    </row>
    <row r="130" spans="1:10" s="12" customFormat="1" ht="14">
      <c r="A130" s="38" t="s">
        <v>104</v>
      </c>
      <c r="B130" s="39"/>
      <c r="C130" s="39"/>
      <c r="D130" s="39"/>
      <c r="E130" s="75"/>
      <c r="F130" s="75"/>
      <c r="G130" s="75"/>
      <c r="J130" s="9"/>
    </row>
    <row r="131" spans="1:10" s="12" customFormat="1" ht="14">
      <c r="A131" s="38"/>
      <c r="B131" s="39"/>
      <c r="C131" s="39"/>
      <c r="D131" s="39"/>
      <c r="E131" s="75"/>
      <c r="F131" s="75"/>
      <c r="G131" s="75"/>
    </row>
    <row r="132" spans="1:10" s="12" customFormat="1" ht="14">
      <c r="A132" s="38" t="s">
        <v>8</v>
      </c>
      <c r="B132" s="39"/>
      <c r="C132" s="39"/>
      <c r="D132" s="39"/>
      <c r="E132" s="75"/>
      <c r="F132" s="75"/>
      <c r="G132" s="75"/>
    </row>
    <row r="133" spans="1:10" s="12" customFormat="1" ht="14">
      <c r="A133" s="38" t="s">
        <v>100</v>
      </c>
      <c r="B133" s="43">
        <f>'Paste here'!B158</f>
        <v>0</v>
      </c>
      <c r="C133" s="43">
        <f>'Paste here'!D158</f>
        <v>0</v>
      </c>
      <c r="D133" s="43">
        <f>'Paste here'!E158</f>
        <v>0</v>
      </c>
      <c r="E133" s="75"/>
      <c r="F133" s="75"/>
      <c r="G133" s="75"/>
      <c r="J133" s="9"/>
    </row>
    <row r="134" spans="1:10" s="12" customFormat="1" ht="14">
      <c r="A134" s="38" t="s">
        <v>101</v>
      </c>
      <c r="B134" s="43">
        <f>'Paste here'!B159</f>
        <v>0</v>
      </c>
      <c r="C134" s="43">
        <f>'Paste here'!D159</f>
        <v>0</v>
      </c>
      <c r="D134" s="43">
        <f>'Paste here'!E159</f>
        <v>0</v>
      </c>
      <c r="E134" s="75"/>
      <c r="F134" s="75"/>
      <c r="G134" s="75"/>
      <c r="J134" s="9"/>
    </row>
    <row r="135" spans="1:10" s="12" customFormat="1" ht="14">
      <c r="A135" s="38" t="s">
        <v>102</v>
      </c>
      <c r="B135" s="43"/>
      <c r="C135" s="43"/>
      <c r="D135" s="43"/>
      <c r="E135" s="75"/>
      <c r="F135" s="75"/>
      <c r="G135" s="75"/>
      <c r="J135" s="9"/>
    </row>
    <row r="136" spans="1:10" s="12" customFormat="1" ht="14">
      <c r="A136" s="48"/>
      <c r="B136" s="39"/>
      <c r="C136" s="39"/>
      <c r="D136" s="39"/>
      <c r="E136" s="75"/>
      <c r="F136" s="75"/>
      <c r="G136" s="75"/>
    </row>
    <row r="137" spans="1:10" s="12" customFormat="1" ht="14">
      <c r="A137" s="38" t="s">
        <v>115</v>
      </c>
      <c r="B137" s="39"/>
      <c r="C137" s="39"/>
      <c r="D137" s="39"/>
      <c r="E137" s="75"/>
      <c r="F137" s="75"/>
      <c r="G137" s="75"/>
    </row>
    <row r="138" spans="1:10" s="12" customFormat="1" ht="14">
      <c r="A138" s="38" t="s">
        <v>107</v>
      </c>
      <c r="B138" s="43">
        <f>'Paste here'!B162</f>
        <v>0</v>
      </c>
      <c r="C138" s="43">
        <f>'Paste here'!D162</f>
        <v>0</v>
      </c>
      <c r="D138" s="43">
        <f>'Paste here'!E162</f>
        <v>0</v>
      </c>
      <c r="E138" s="75"/>
      <c r="F138" s="75"/>
      <c r="G138" s="75"/>
      <c r="J138" s="9"/>
    </row>
    <row r="139" spans="1:10" s="12" customFormat="1" ht="14">
      <c r="A139" s="38"/>
      <c r="B139" s="43"/>
      <c r="C139" s="43"/>
      <c r="D139" s="43"/>
      <c r="E139" s="75"/>
      <c r="F139" s="75"/>
      <c r="G139" s="75"/>
      <c r="J139" s="9"/>
    </row>
    <row r="140" spans="1:10" s="12" customFormat="1" ht="14">
      <c r="A140" s="38"/>
      <c r="B140" s="43"/>
      <c r="C140" s="43"/>
      <c r="D140" s="43"/>
      <c r="E140" s="75"/>
      <c r="F140" s="75"/>
      <c r="G140" s="75"/>
      <c r="J140" s="9"/>
    </row>
    <row r="141" spans="1:10" s="12" customFormat="1" ht="14">
      <c r="A141" s="38"/>
      <c r="B141" s="43"/>
      <c r="C141" s="43"/>
      <c r="D141" s="43"/>
      <c r="E141" s="75"/>
      <c r="F141" s="75"/>
      <c r="G141" s="75"/>
      <c r="J141" s="9"/>
    </row>
    <row r="142" spans="1:10" s="12" customFormat="1" ht="14">
      <c r="A142" s="41" t="s">
        <v>142</v>
      </c>
      <c r="B142" s="47"/>
      <c r="C142" s="47"/>
      <c r="D142" s="47"/>
      <c r="E142" s="75"/>
      <c r="F142" s="75"/>
      <c r="G142" s="75"/>
      <c r="H142" s="6"/>
    </row>
    <row r="143" spans="1:10" s="12" customFormat="1" ht="14">
      <c r="A143" s="38" t="s">
        <v>150</v>
      </c>
      <c r="B143" s="39" t="s">
        <v>4</v>
      </c>
      <c r="C143" s="39" t="s">
        <v>5</v>
      </c>
      <c r="D143" s="39" t="s">
        <v>6</v>
      </c>
      <c r="E143" s="75"/>
      <c r="F143" s="75"/>
      <c r="G143" s="75"/>
    </row>
    <row r="144" spans="1:10" s="12" customFormat="1" ht="14">
      <c r="A144" s="41" t="s">
        <v>142</v>
      </c>
      <c r="B144" s="47"/>
      <c r="C144" s="47"/>
      <c r="D144" s="47"/>
      <c r="E144" s="75"/>
      <c r="F144" s="75"/>
      <c r="G144" s="75"/>
      <c r="H144" s="6"/>
    </row>
    <row r="145" spans="1:12" s="12" customFormat="1" ht="14">
      <c r="A145" s="38" t="s">
        <v>116</v>
      </c>
      <c r="B145" s="39"/>
      <c r="C145" s="39"/>
      <c r="D145" s="39"/>
      <c r="E145" s="75"/>
      <c r="F145" s="75"/>
      <c r="G145" s="75"/>
    </row>
    <row r="146" spans="1:12" s="12" customFormat="1" ht="14">
      <c r="A146" s="38" t="s">
        <v>108</v>
      </c>
      <c r="B146" s="43">
        <f>'Paste here'!B170</f>
        <v>0</v>
      </c>
      <c r="C146" s="43">
        <f>'Paste here'!D170</f>
        <v>0</v>
      </c>
      <c r="D146" s="43">
        <f>'Paste here'!E170</f>
        <v>0</v>
      </c>
      <c r="E146" s="75"/>
      <c r="F146" s="75"/>
      <c r="G146" s="75"/>
      <c r="J146" s="9"/>
    </row>
    <row r="147" spans="1:12" s="12" customFormat="1" ht="14">
      <c r="A147" s="38" t="s">
        <v>109</v>
      </c>
      <c r="B147" s="43">
        <f>'Paste here'!B171</f>
        <v>0</v>
      </c>
      <c r="C147" s="43">
        <f>'Paste here'!D171</f>
        <v>0</v>
      </c>
      <c r="D147" s="43">
        <f>'Paste here'!E171</f>
        <v>0</v>
      </c>
      <c r="E147" s="75"/>
      <c r="F147" s="75"/>
      <c r="G147" s="75"/>
      <c r="J147" s="9"/>
    </row>
    <row r="148" spans="1:12" s="12" customFormat="1" ht="14">
      <c r="A148" s="38"/>
      <c r="B148" s="43"/>
      <c r="C148" s="43"/>
      <c r="D148" s="43"/>
      <c r="E148" s="75"/>
      <c r="F148" s="75"/>
      <c r="G148" s="75"/>
      <c r="J148" s="9"/>
    </row>
    <row r="149" spans="1:12" s="12" customFormat="1" ht="14">
      <c r="A149" s="38"/>
      <c r="B149" s="43"/>
      <c r="C149" s="43"/>
      <c r="D149" s="43"/>
      <c r="E149" s="75"/>
      <c r="F149" s="75"/>
      <c r="G149" s="75"/>
      <c r="J149" s="9"/>
    </row>
    <row r="150" spans="1:12" s="12" customFormat="1" ht="14">
      <c r="A150" s="38"/>
      <c r="B150" s="43"/>
      <c r="C150" s="43"/>
      <c r="D150" s="43"/>
      <c r="E150" s="75"/>
      <c r="F150" s="75"/>
      <c r="G150" s="75"/>
      <c r="J150" s="9"/>
    </row>
    <row r="151" spans="1:12" s="12" customFormat="1" ht="14">
      <c r="A151" s="41" t="s">
        <v>142</v>
      </c>
      <c r="B151" s="49"/>
      <c r="C151" s="49"/>
      <c r="D151" s="49"/>
      <c r="E151" s="75"/>
      <c r="F151" s="75"/>
      <c r="G151" s="75"/>
      <c r="H151" s="14" t="str">
        <f>""</f>
        <v/>
      </c>
    </row>
    <row r="152" spans="1:12" s="12" customFormat="1" ht="14">
      <c r="A152" s="38" t="s">
        <v>151</v>
      </c>
      <c r="B152" s="39" t="s">
        <v>4</v>
      </c>
      <c r="C152" s="39" t="s">
        <v>5</v>
      </c>
      <c r="D152" s="39" t="s">
        <v>6</v>
      </c>
      <c r="E152" s="75"/>
      <c r="F152" s="75"/>
      <c r="G152" s="75"/>
    </row>
    <row r="153" spans="1:12" s="12" customFormat="1" ht="14">
      <c r="A153" s="41" t="s">
        <v>142</v>
      </c>
      <c r="B153" s="50"/>
      <c r="C153" s="50"/>
      <c r="D153" s="50"/>
      <c r="E153" s="75"/>
      <c r="F153" s="75"/>
      <c r="G153" s="75"/>
      <c r="H153" s="6"/>
    </row>
    <row r="154" spans="1:12" s="12" customFormat="1" ht="14">
      <c r="A154" s="38" t="s">
        <v>9</v>
      </c>
      <c r="B154" s="39"/>
      <c r="C154" s="39"/>
      <c r="D154" s="39"/>
      <c r="E154" s="75"/>
      <c r="F154" s="75"/>
      <c r="G154" s="75"/>
    </row>
    <row r="155" spans="1:12" s="12" customFormat="1" ht="14">
      <c r="A155" s="38" t="s">
        <v>67</v>
      </c>
      <c r="B155" s="43">
        <f>'Paste here'!B172</f>
        <v>0</v>
      </c>
      <c r="C155" s="43">
        <f>'Paste here'!D172</f>
        <v>0</v>
      </c>
      <c r="D155" s="43">
        <f>'Paste here'!E172</f>
        <v>0</v>
      </c>
      <c r="E155" s="75"/>
      <c r="F155" s="75"/>
      <c r="G155" s="75"/>
      <c r="J155" s="9"/>
    </row>
    <row r="156" spans="1:12" s="12" customFormat="1" ht="14">
      <c r="A156" s="38"/>
      <c r="B156" s="39"/>
      <c r="C156" s="39"/>
      <c r="D156" s="39"/>
      <c r="E156" s="75"/>
      <c r="F156" s="75"/>
      <c r="G156" s="75"/>
    </row>
    <row r="157" spans="1:12" ht="14">
      <c r="A157" s="51" t="s">
        <v>156</v>
      </c>
      <c r="B157" s="52" t="s">
        <v>5</v>
      </c>
      <c r="C157" s="52" t="s">
        <v>6</v>
      </c>
      <c r="D157" s="40"/>
      <c r="E157" s="75"/>
      <c r="F157" s="75"/>
      <c r="G157" s="75"/>
      <c r="H157" s="6"/>
      <c r="I157" s="2"/>
      <c r="J157" s="3" t="s">
        <v>10</v>
      </c>
    </row>
    <row r="158" spans="1:12" ht="13.5" customHeight="1">
      <c r="A158" s="51" t="s">
        <v>117</v>
      </c>
      <c r="B158" s="53">
        <f t="shared" ref="B158:B179" si="0">IF(J158="","",J158)</f>
        <v>0</v>
      </c>
      <c r="C158" s="54">
        <f>IF(L158=100,"&gt;99",(IF(B158="","",(ROUND((NORMDIST(B158,50,10,1)*100),0)))))</f>
        <v>0</v>
      </c>
      <c r="D158" s="40"/>
      <c r="E158" s="75"/>
      <c r="F158" s="75"/>
      <c r="G158" s="75"/>
      <c r="I158" s="4" t="s">
        <v>11</v>
      </c>
      <c r="J158" s="5">
        <f>'Paste here'!K4</f>
        <v>0</v>
      </c>
      <c r="L158" s="8">
        <f>IF(J158="","",(ROUND((NORMDIST(J158,50,10,1)*100),0)))</f>
        <v>0</v>
      </c>
    </row>
    <row r="159" spans="1:12" ht="14">
      <c r="A159" s="51" t="s">
        <v>118</v>
      </c>
      <c r="B159" s="53">
        <f t="shared" si="0"/>
        <v>0</v>
      </c>
      <c r="C159" s="54">
        <f t="shared" ref="C159:C179" si="1">IF(L159=100,"&gt;99",(IF(B159="","",(ROUND((NORMDIST(B159,50,10,1)*100),0)))))</f>
        <v>0</v>
      </c>
      <c r="D159" s="40"/>
      <c r="E159" s="75"/>
      <c r="F159" s="75"/>
      <c r="G159" s="75"/>
      <c r="H159" s="7"/>
      <c r="I159" s="4" t="s">
        <v>12</v>
      </c>
      <c r="J159" s="5">
        <f>'Paste here'!K5</f>
        <v>0</v>
      </c>
      <c r="L159" s="8">
        <f>IF(J159="","",(ROUND((NORMDIST(J159,50,10,1)*100),0)))</f>
        <v>0</v>
      </c>
    </row>
    <row r="160" spans="1:12" ht="14">
      <c r="A160" s="51" t="s">
        <v>119</v>
      </c>
      <c r="B160" s="53">
        <f t="shared" si="0"/>
        <v>0</v>
      </c>
      <c r="C160" s="54">
        <f t="shared" si="1"/>
        <v>0</v>
      </c>
      <c r="D160" s="40"/>
      <c r="E160" s="75"/>
      <c r="F160" s="75"/>
      <c r="G160" s="75"/>
      <c r="H160" s="7"/>
      <c r="I160" s="4" t="s">
        <v>13</v>
      </c>
      <c r="J160" s="5">
        <f>'Paste here'!K6</f>
        <v>0</v>
      </c>
      <c r="L160" s="8">
        <f t="shared" ref="J160:L209" si="2">IF(J160="","",(ROUND((NORMDIST(J160,50,10,1)*100),0)))</f>
        <v>0</v>
      </c>
    </row>
    <row r="161" spans="1:12" ht="14">
      <c r="A161" s="51" t="s">
        <v>120</v>
      </c>
      <c r="B161" s="53">
        <f t="shared" si="0"/>
        <v>0</v>
      </c>
      <c r="C161" s="54">
        <f t="shared" si="1"/>
        <v>0</v>
      </c>
      <c r="D161" s="40"/>
      <c r="E161" s="75"/>
      <c r="F161" s="75"/>
      <c r="G161" s="75"/>
      <c r="H161" s="7"/>
      <c r="I161" s="4" t="s">
        <v>14</v>
      </c>
      <c r="J161" s="5">
        <f>'Paste here'!K7</f>
        <v>0</v>
      </c>
      <c r="L161" s="8">
        <f t="shared" si="2"/>
        <v>0</v>
      </c>
    </row>
    <row r="162" spans="1:12" ht="14">
      <c r="A162" s="51" t="s">
        <v>121</v>
      </c>
      <c r="B162" s="53">
        <f t="shared" si="0"/>
        <v>0</v>
      </c>
      <c r="C162" s="54">
        <f t="shared" si="1"/>
        <v>0</v>
      </c>
      <c r="D162" s="40"/>
      <c r="E162" s="75"/>
      <c r="F162" s="75"/>
      <c r="G162" s="75"/>
      <c r="H162" s="7"/>
      <c r="I162" s="4" t="s">
        <v>15</v>
      </c>
      <c r="J162" s="5">
        <f>'Paste here'!K8</f>
        <v>0</v>
      </c>
      <c r="L162" s="8">
        <f t="shared" si="2"/>
        <v>0</v>
      </c>
    </row>
    <row r="163" spans="1:12" ht="14">
      <c r="A163" s="51" t="s">
        <v>122</v>
      </c>
      <c r="B163" s="53">
        <f t="shared" si="0"/>
        <v>0</v>
      </c>
      <c r="C163" s="54">
        <f t="shared" si="1"/>
        <v>0</v>
      </c>
      <c r="D163" s="40"/>
      <c r="E163" s="75"/>
      <c r="F163" s="75"/>
      <c r="G163" s="75"/>
      <c r="H163" s="7"/>
      <c r="I163" s="4" t="s">
        <v>16</v>
      </c>
      <c r="J163" s="5">
        <f>'Paste here'!K9</f>
        <v>0</v>
      </c>
      <c r="L163" s="8">
        <f t="shared" si="2"/>
        <v>0</v>
      </c>
    </row>
    <row r="164" spans="1:12" ht="14">
      <c r="A164" s="51" t="s">
        <v>123</v>
      </c>
      <c r="B164" s="53">
        <f t="shared" si="0"/>
        <v>0</v>
      </c>
      <c r="C164" s="54">
        <f t="shared" si="1"/>
        <v>0</v>
      </c>
      <c r="D164" s="40"/>
      <c r="E164" s="75"/>
      <c r="F164" s="75"/>
      <c r="G164" s="75"/>
      <c r="H164" s="7"/>
      <c r="I164" s="4" t="s">
        <v>17</v>
      </c>
      <c r="J164" s="5">
        <f>'Paste here'!K10</f>
        <v>0</v>
      </c>
      <c r="L164" s="8">
        <f t="shared" si="2"/>
        <v>0</v>
      </c>
    </row>
    <row r="165" spans="1:12" ht="14">
      <c r="A165" s="51" t="s">
        <v>124</v>
      </c>
      <c r="B165" s="53">
        <f t="shared" si="0"/>
        <v>0</v>
      </c>
      <c r="C165" s="54">
        <f t="shared" si="1"/>
        <v>0</v>
      </c>
      <c r="D165" s="40"/>
      <c r="E165" s="75"/>
      <c r="F165" s="75"/>
      <c r="G165" s="75"/>
      <c r="H165" s="7"/>
      <c r="I165" s="4" t="s">
        <v>18</v>
      </c>
      <c r="J165" s="5">
        <f>'Paste here'!K11</f>
        <v>0</v>
      </c>
      <c r="L165" s="8">
        <f t="shared" si="2"/>
        <v>0</v>
      </c>
    </row>
    <row r="166" spans="1:12" ht="14">
      <c r="A166" s="51" t="s">
        <v>125</v>
      </c>
      <c r="B166" s="53">
        <f t="shared" si="0"/>
        <v>0</v>
      </c>
      <c r="C166" s="54">
        <f t="shared" si="1"/>
        <v>0</v>
      </c>
      <c r="D166" s="40"/>
      <c r="E166" s="75"/>
      <c r="F166" s="75"/>
      <c r="G166" s="75"/>
      <c r="H166" s="7"/>
      <c r="I166" s="4" t="s">
        <v>19</v>
      </c>
      <c r="J166" s="5">
        <f>'Paste here'!K12</f>
        <v>0</v>
      </c>
      <c r="L166" s="8">
        <f t="shared" si="2"/>
        <v>0</v>
      </c>
    </row>
    <row r="167" spans="1:12" ht="14">
      <c r="A167" s="51" t="s">
        <v>126</v>
      </c>
      <c r="B167" s="53">
        <f t="shared" si="0"/>
        <v>0</v>
      </c>
      <c r="C167" s="54">
        <f t="shared" si="1"/>
        <v>0</v>
      </c>
      <c r="D167" s="40"/>
      <c r="E167" s="75"/>
      <c r="F167" s="75"/>
      <c r="G167" s="75"/>
      <c r="H167" s="7"/>
      <c r="I167" s="4" t="s">
        <v>20</v>
      </c>
      <c r="J167" s="5">
        <f>'Paste here'!K13</f>
        <v>0</v>
      </c>
      <c r="L167" s="8">
        <f t="shared" si="2"/>
        <v>0</v>
      </c>
    </row>
    <row r="168" spans="1:12" ht="14">
      <c r="A168" s="51" t="s">
        <v>127</v>
      </c>
      <c r="B168" s="53">
        <f t="shared" si="0"/>
        <v>0</v>
      </c>
      <c r="C168" s="54">
        <f t="shared" si="1"/>
        <v>0</v>
      </c>
      <c r="D168" s="40"/>
      <c r="E168" s="75"/>
      <c r="F168" s="75"/>
      <c r="G168" s="75"/>
      <c r="H168" s="7"/>
      <c r="I168" s="4" t="s">
        <v>21</v>
      </c>
      <c r="J168" s="5">
        <f>'Paste here'!K14</f>
        <v>0</v>
      </c>
      <c r="L168" s="8">
        <f t="shared" si="2"/>
        <v>0</v>
      </c>
    </row>
    <row r="169" spans="1:12" ht="14">
      <c r="A169" s="51" t="s">
        <v>128</v>
      </c>
      <c r="B169" s="53">
        <f t="shared" si="0"/>
        <v>0</v>
      </c>
      <c r="C169" s="54">
        <f t="shared" si="1"/>
        <v>0</v>
      </c>
      <c r="D169" s="40"/>
      <c r="E169" s="75"/>
      <c r="F169" s="75"/>
      <c r="G169" s="75"/>
      <c r="H169" s="7"/>
      <c r="I169" s="4" t="s">
        <v>22</v>
      </c>
      <c r="J169" s="5">
        <f>'Paste here'!K15</f>
        <v>0</v>
      </c>
      <c r="L169" s="8">
        <f t="shared" si="2"/>
        <v>0</v>
      </c>
    </row>
    <row r="170" spans="1:12" ht="14">
      <c r="A170" s="51" t="s">
        <v>129</v>
      </c>
      <c r="B170" s="53">
        <f t="shared" si="0"/>
        <v>0</v>
      </c>
      <c r="C170" s="54">
        <f t="shared" si="1"/>
        <v>0</v>
      </c>
      <c r="D170" s="40"/>
      <c r="E170" s="75"/>
      <c r="F170" s="75"/>
      <c r="G170" s="75"/>
      <c r="H170" s="7"/>
      <c r="I170" s="4" t="s">
        <v>23</v>
      </c>
      <c r="J170" s="5">
        <f>'Paste here'!K16</f>
        <v>0</v>
      </c>
      <c r="L170" s="8">
        <f t="shared" si="2"/>
        <v>0</v>
      </c>
    </row>
    <row r="171" spans="1:12" ht="14">
      <c r="A171" s="51" t="s">
        <v>130</v>
      </c>
      <c r="B171" s="53">
        <f t="shared" si="0"/>
        <v>0</v>
      </c>
      <c r="C171" s="54">
        <f t="shared" si="1"/>
        <v>0</v>
      </c>
      <c r="D171" s="40"/>
      <c r="E171" s="75"/>
      <c r="F171" s="75"/>
      <c r="G171" s="75"/>
      <c r="H171" s="7"/>
      <c r="I171" s="4" t="s">
        <v>24</v>
      </c>
      <c r="J171" s="5">
        <f>'Paste here'!K17</f>
        <v>0</v>
      </c>
      <c r="L171" s="8">
        <f t="shared" si="2"/>
        <v>0</v>
      </c>
    </row>
    <row r="172" spans="1:12" ht="14">
      <c r="A172" s="51" t="s">
        <v>131</v>
      </c>
      <c r="B172" s="53">
        <f t="shared" si="0"/>
        <v>0</v>
      </c>
      <c r="C172" s="54">
        <f t="shared" si="1"/>
        <v>0</v>
      </c>
      <c r="D172" s="40"/>
      <c r="E172" s="75"/>
      <c r="F172" s="75"/>
      <c r="G172" s="75"/>
      <c r="H172" s="7"/>
      <c r="I172" s="4" t="s">
        <v>25</v>
      </c>
      <c r="J172" s="5">
        <f>'Paste here'!K18</f>
        <v>0</v>
      </c>
      <c r="L172" s="8">
        <f t="shared" si="2"/>
        <v>0</v>
      </c>
    </row>
    <row r="173" spans="1:12" ht="14">
      <c r="A173" s="51" t="s">
        <v>132</v>
      </c>
      <c r="B173" s="53">
        <f t="shared" si="0"/>
        <v>0</v>
      </c>
      <c r="C173" s="54">
        <f t="shared" si="1"/>
        <v>0</v>
      </c>
      <c r="D173" s="40"/>
      <c r="E173" s="75"/>
      <c r="F173" s="75"/>
      <c r="G173" s="75"/>
      <c r="H173" s="7"/>
      <c r="I173" s="4" t="s">
        <v>26</v>
      </c>
      <c r="J173" s="5">
        <f>'Paste here'!K19</f>
        <v>0</v>
      </c>
      <c r="L173" s="8">
        <f t="shared" si="2"/>
        <v>0</v>
      </c>
    </row>
    <row r="174" spans="1:12" ht="14">
      <c r="A174" s="51" t="s">
        <v>133</v>
      </c>
      <c r="B174" s="53">
        <f t="shared" si="0"/>
        <v>0</v>
      </c>
      <c r="C174" s="54">
        <f t="shared" si="1"/>
        <v>0</v>
      </c>
      <c r="D174" s="40"/>
      <c r="E174" s="75"/>
      <c r="F174" s="75"/>
      <c r="G174" s="75"/>
      <c r="H174" s="7"/>
      <c r="I174" s="4" t="s">
        <v>27</v>
      </c>
      <c r="J174" s="5">
        <f>'Paste here'!K20</f>
        <v>0</v>
      </c>
      <c r="L174" s="8">
        <f t="shared" si="2"/>
        <v>0</v>
      </c>
    </row>
    <row r="175" spans="1:12" ht="14">
      <c r="A175" s="51" t="s">
        <v>134</v>
      </c>
      <c r="B175" s="53">
        <f t="shared" si="0"/>
        <v>0</v>
      </c>
      <c r="C175" s="54">
        <f t="shared" si="1"/>
        <v>0</v>
      </c>
      <c r="D175" s="40"/>
      <c r="E175" s="75"/>
      <c r="F175" s="75"/>
      <c r="G175" s="75"/>
      <c r="H175" s="7"/>
      <c r="I175" s="4" t="s">
        <v>28</v>
      </c>
      <c r="J175" s="5">
        <f>'Paste here'!K21</f>
        <v>0</v>
      </c>
      <c r="L175" s="8">
        <f t="shared" si="2"/>
        <v>0</v>
      </c>
    </row>
    <row r="176" spans="1:12" ht="14">
      <c r="A176" s="51" t="s">
        <v>135</v>
      </c>
      <c r="B176" s="53">
        <f t="shared" si="0"/>
        <v>0</v>
      </c>
      <c r="C176" s="54">
        <f t="shared" si="1"/>
        <v>0</v>
      </c>
      <c r="D176" s="40"/>
      <c r="E176" s="75"/>
      <c r="F176" s="75"/>
      <c r="G176" s="75"/>
      <c r="H176" s="7"/>
      <c r="I176" s="4" t="s">
        <v>29</v>
      </c>
      <c r="J176" s="5">
        <f>'Paste here'!K22</f>
        <v>0</v>
      </c>
      <c r="L176" s="8">
        <f t="shared" si="2"/>
        <v>0</v>
      </c>
    </row>
    <row r="177" spans="1:12" ht="14">
      <c r="A177" s="51" t="s">
        <v>136</v>
      </c>
      <c r="B177" s="53">
        <f t="shared" si="0"/>
        <v>0</v>
      </c>
      <c r="C177" s="54">
        <f t="shared" si="1"/>
        <v>0</v>
      </c>
      <c r="D177" s="40"/>
      <c r="E177" s="75"/>
      <c r="F177" s="75"/>
      <c r="G177" s="75"/>
      <c r="H177" s="7"/>
      <c r="I177" s="4" t="s">
        <v>30</v>
      </c>
      <c r="J177" s="5">
        <f>'Paste here'!K23</f>
        <v>0</v>
      </c>
      <c r="L177" s="8">
        <f t="shared" si="2"/>
        <v>0</v>
      </c>
    </row>
    <row r="178" spans="1:12" ht="14">
      <c r="A178" s="51" t="s">
        <v>137</v>
      </c>
      <c r="B178" s="53">
        <f t="shared" si="0"/>
        <v>0</v>
      </c>
      <c r="C178" s="54">
        <f t="shared" si="1"/>
        <v>0</v>
      </c>
      <c r="D178" s="40"/>
      <c r="E178" s="75"/>
      <c r="F178" s="75"/>
      <c r="G178" s="75"/>
      <c r="H178" s="7"/>
      <c r="I178" s="4" t="s">
        <v>31</v>
      </c>
      <c r="J178" s="5">
        <f>'Paste here'!K24</f>
        <v>0</v>
      </c>
      <c r="L178" s="8">
        <f t="shared" si="2"/>
        <v>0</v>
      </c>
    </row>
    <row r="179" spans="1:12" ht="14">
      <c r="A179" s="51" t="s">
        <v>138</v>
      </c>
      <c r="B179" s="53">
        <f t="shared" si="0"/>
        <v>0</v>
      </c>
      <c r="C179" s="54">
        <f t="shared" si="1"/>
        <v>0</v>
      </c>
      <c r="D179" s="40"/>
      <c r="E179" s="75"/>
      <c r="F179" s="75"/>
      <c r="G179" s="75"/>
      <c r="H179" s="7"/>
      <c r="I179" s="4" t="s">
        <v>32</v>
      </c>
      <c r="J179" s="5">
        <f>'Paste here'!K25</f>
        <v>0</v>
      </c>
      <c r="L179" s="8">
        <f t="shared" si="2"/>
        <v>0</v>
      </c>
    </row>
    <row r="180" spans="1:12" s="12" customFormat="1" ht="14">
      <c r="A180" s="51"/>
      <c r="B180" s="53"/>
      <c r="C180" s="54"/>
      <c r="D180" s="40"/>
      <c r="E180" s="75"/>
      <c r="F180" s="75"/>
      <c r="G180" s="75"/>
      <c r="H180" s="7"/>
      <c r="I180" s="29"/>
      <c r="J180" s="30"/>
      <c r="L180" s="8"/>
    </row>
    <row r="181" spans="1:12" ht="14">
      <c r="A181" s="55"/>
      <c r="B181" s="56"/>
      <c r="C181" s="56"/>
      <c r="D181" s="56"/>
      <c r="E181" s="75"/>
      <c r="F181" s="75"/>
      <c r="G181" s="75"/>
      <c r="H181" s="6"/>
      <c r="J181" s="1" t="str">
        <f t="shared" si="2"/>
        <v/>
      </c>
    </row>
    <row r="182" spans="1:12" ht="14">
      <c r="A182" s="41" t="s">
        <v>142</v>
      </c>
      <c r="B182" s="47"/>
      <c r="C182" s="47"/>
      <c r="D182" s="47"/>
      <c r="E182" s="75"/>
      <c r="F182" s="75"/>
      <c r="G182" s="75"/>
      <c r="H182" s="6"/>
    </row>
    <row r="183" spans="1:12" ht="14">
      <c r="A183" s="38" t="s">
        <v>152</v>
      </c>
      <c r="B183" s="56"/>
      <c r="C183" s="56"/>
      <c r="D183" s="56"/>
      <c r="E183" s="75"/>
      <c r="F183" s="75"/>
      <c r="G183" s="75"/>
      <c r="H183" s="6"/>
    </row>
    <row r="184" spans="1:12" ht="14">
      <c r="A184" s="41" t="s">
        <v>142</v>
      </c>
      <c r="B184" s="47"/>
      <c r="C184" s="47"/>
      <c r="D184" s="47"/>
      <c r="E184" s="75"/>
      <c r="F184" s="75"/>
      <c r="G184" s="75"/>
      <c r="H184" s="6"/>
    </row>
    <row r="185" spans="1:12" ht="14">
      <c r="A185" s="41" t="s">
        <v>52</v>
      </c>
      <c r="B185" s="47"/>
      <c r="C185" s="47"/>
      <c r="D185" s="47"/>
      <c r="E185" s="75"/>
      <c r="F185" s="75"/>
      <c r="G185" s="75"/>
      <c r="H185" s="11"/>
      <c r="J185" s="1" t="str">
        <f t="shared" si="2"/>
        <v/>
      </c>
    </row>
    <row r="186" spans="1:12" ht="14">
      <c r="A186" s="41" t="s">
        <v>142</v>
      </c>
      <c r="B186" s="47"/>
      <c r="C186" s="47"/>
      <c r="D186" s="47" t="str">
        <f>""</f>
        <v/>
      </c>
      <c r="E186" s="75"/>
      <c r="F186" s="75"/>
      <c r="G186" s="75"/>
      <c r="H186" s="11"/>
      <c r="J186" s="1" t="str">
        <f t="shared" si="2"/>
        <v/>
      </c>
    </row>
    <row r="187" spans="1:12">
      <c r="A187" s="38" t="s">
        <v>34</v>
      </c>
      <c r="B187" s="39" t="str">
        <f>IF(OR('Paste here'!$C$180&lt;138,'Paste here'!$C$180="---")," ---","&lt;[X]&gt;")</f>
        <v xml:space="preserve"> ---</v>
      </c>
      <c r="C187" s="39" t="str">
        <f>IF(OR('Paste here'!$C$181&lt;138,'Paste here'!$C$181="---")," ---","&lt;[X]&gt;")</f>
        <v xml:space="preserve"> ---</v>
      </c>
      <c r="D187" s="39" t="str">
        <f>IF(OR('Paste here'!$C$182&lt;138,'Paste here'!$C$182="---")," ---","&lt;[X]&gt;")</f>
        <v xml:space="preserve"> ---</v>
      </c>
      <c r="E187" s="39" t="str">
        <f>IF(OR('Paste here'!$C$183&lt;138,'Paste here'!$C$183="---")," ---","&lt;[X]&gt;")</f>
        <v xml:space="preserve"> ---</v>
      </c>
      <c r="F187" s="39" t="str">
        <f>IF(OR('Paste here'!$C$184&lt;138,'Paste here'!$C$184="---")," ---","&lt;[X]&gt;")</f>
        <v xml:space="preserve"> ---</v>
      </c>
      <c r="G187" s="39" t="str">
        <f>IF(OR('Paste here'!$C$185&lt;138,'Paste here'!$C$185="---")," ---","&lt;[X]&gt;")</f>
        <v xml:space="preserve"> ---</v>
      </c>
    </row>
    <row r="188" spans="1:12">
      <c r="A188" s="38" t="s">
        <v>35</v>
      </c>
      <c r="B188" s="39" t="str">
        <f>IF(AND('Paste here'!$C$180&gt;=133,'Paste here'!$C$180&lt;=137),"&lt;[X]&gt;","  -   ")</f>
        <v xml:space="preserve">  -   </v>
      </c>
      <c r="C188" s="39" t="str">
        <f>IF(AND('Paste here'!$C$181&gt;=133,'Paste here'!$C$181&lt;=137),"&lt;[X]&gt;","  -   ")</f>
        <v xml:space="preserve">  -   </v>
      </c>
      <c r="D188" s="39" t="str">
        <f>IF(AND('Paste here'!$C$182&gt;=133,'Paste here'!$C$182&lt;=137),"&lt;[X]&gt;","  -   ")</f>
        <v xml:space="preserve">  -   </v>
      </c>
      <c r="E188" s="39" t="str">
        <f>IF(AND('Paste here'!$C$183&gt;=133,'Paste here'!$C$183&lt;=137),"&lt;[X]&gt;","  -   ")</f>
        <v xml:space="preserve">  -   </v>
      </c>
      <c r="F188" s="39" t="str">
        <f>IF(AND('Paste here'!$C$184&gt;=133,'Paste here'!$C$184&lt;=137),"&lt;[X]&gt;","  -   ")</f>
        <v xml:space="preserve">  -   </v>
      </c>
      <c r="G188" s="39" t="str">
        <f>IF(AND('Paste here'!$C$185&gt;=133,'Paste here'!$C$185&lt;=137),"&lt;[X]&gt;","  -   ")</f>
        <v xml:space="preserve">  -   </v>
      </c>
    </row>
    <row r="189" spans="1:12">
      <c r="A189" s="38" t="s">
        <v>36</v>
      </c>
      <c r="B189" s="39" t="str">
        <f>IF(AND('Paste here'!$C$180&gt;=128,'Paste here'!$C$180&lt;133),"&lt;[X]&gt;"," ---")</f>
        <v xml:space="preserve"> ---</v>
      </c>
      <c r="C189" s="39" t="str">
        <f>IF(AND('Paste here'!$C$181&gt;=128,'Paste here'!$C$181&lt;133),"&lt;[X]&gt;"," ---")</f>
        <v xml:space="preserve"> ---</v>
      </c>
      <c r="D189" s="39" t="str">
        <f>IF(AND('Paste here'!$C$182&gt;=128,'Paste here'!$C$182&lt;133),"&lt;[X]&gt;"," ---")</f>
        <v xml:space="preserve"> ---</v>
      </c>
      <c r="E189" s="39" t="str">
        <f>IF(AND('Paste here'!$C$183&gt;=128,'Paste here'!$C$183&lt;133),"&lt;[X]&gt;"," ---")</f>
        <v xml:space="preserve"> ---</v>
      </c>
      <c r="F189" s="39" t="str">
        <f>IF(AND('Paste here'!$C$184&gt;=128,'Paste here'!$C$184&lt;133),"&lt;[X]&gt;"," ---")</f>
        <v xml:space="preserve"> ---</v>
      </c>
      <c r="G189" s="39" t="str">
        <f>IF(AND('Paste here'!$C$185&gt;=128,'Paste here'!$C$185&lt;133),"&lt;[X]&gt;"," ---")</f>
        <v xml:space="preserve"> ---</v>
      </c>
    </row>
    <row r="190" spans="1:12">
      <c r="A190" s="38" t="s">
        <v>37</v>
      </c>
      <c r="B190" s="39" t="str">
        <f>IF(AND('Paste here'!C180&gt;=123,'Paste here'!C180&lt;128),"&lt;[X]&gt;","  -   ")</f>
        <v xml:space="preserve">  -   </v>
      </c>
      <c r="C190" s="39" t="str">
        <f>IF(AND('Paste here'!C181&gt;=123,'Paste here'!C181&lt;128),"&lt;[X]&gt;","  -   ")</f>
        <v xml:space="preserve">  -   </v>
      </c>
      <c r="D190" s="39" t="str">
        <f>IF(AND('Paste here'!C182&gt;=123,'Paste here'!C182&lt;128),"&lt;[X]&gt;","  -   ")</f>
        <v xml:space="preserve">  -   </v>
      </c>
      <c r="E190" s="39" t="str">
        <f>IF(AND('Paste here'!C183&gt;=123,'Paste here'!C183&lt;128),"&lt;[X]&gt;","  -   ")</f>
        <v xml:space="preserve">  -   </v>
      </c>
      <c r="F190" s="39" t="str">
        <f>IF(AND('Paste here'!C184&gt;=123,'Paste here'!C184&lt;128),"&lt;[X]&gt;","  -   ")</f>
        <v xml:space="preserve">  -   </v>
      </c>
      <c r="G190" s="39" t="str">
        <f>IF(AND('Paste here'!C185&gt;=123,'Paste here'!C185&lt;128),"&lt;[X]&gt;","  -   ")</f>
        <v xml:space="preserve">  -   </v>
      </c>
    </row>
    <row r="191" spans="1:12">
      <c r="A191" s="38" t="s">
        <v>38</v>
      </c>
      <c r="B191" s="39" t="str">
        <f>IF(AND('Paste here'!C180&gt;=118,'Paste here'!C180&lt;123),"&lt;[X]&gt;"," ---")</f>
        <v xml:space="preserve"> ---</v>
      </c>
      <c r="C191" s="39" t="str">
        <f>IF(AND('Paste here'!C181&gt;=118,'Paste here'!C181&lt;123),"&lt;[X]&gt;"," ---")</f>
        <v xml:space="preserve"> ---</v>
      </c>
      <c r="D191" s="39" t="str">
        <f>IF(AND('Paste here'!C182&gt;=118,'Paste here'!C182&lt;123),"&lt;[X]&gt;"," ---")</f>
        <v xml:space="preserve"> ---</v>
      </c>
      <c r="E191" s="39" t="str">
        <f>IF(AND('Paste here'!C183&gt;=118,'Paste here'!C183&lt;123),"&lt;[X]&gt;"," ---")</f>
        <v xml:space="preserve"> ---</v>
      </c>
      <c r="F191" s="39" t="str">
        <f>IF(AND('Paste here'!C184&gt;=118,'Paste here'!C184&lt;123),"&lt;[X]&gt;"," ---")</f>
        <v xml:space="preserve"> ---</v>
      </c>
      <c r="G191" s="39" t="str">
        <f>IF(AND('Paste here'!C185&gt;=118,'Paste here'!C185&lt;123),"&lt;[X]&gt;"," ---")</f>
        <v xml:space="preserve"> ---</v>
      </c>
    </row>
    <row r="192" spans="1:12">
      <c r="A192" s="38" t="s">
        <v>39</v>
      </c>
      <c r="B192" s="39" t="str">
        <f>IF(AND('Paste here'!C180&gt;=113,'Paste here'!C180&lt;118),"&lt;[X]&gt;","  -   ")</f>
        <v xml:space="preserve">  -   </v>
      </c>
      <c r="C192" s="39" t="str">
        <f>IF(AND('Paste here'!C181&gt;=113,'Paste here'!C181&lt;118),"&lt;[X]&gt;","  -   ")</f>
        <v xml:space="preserve">  -   </v>
      </c>
      <c r="D192" s="39" t="str">
        <f>IF(AND('Paste here'!C182&gt;=113,'Paste here'!C182&lt;118),"&lt;[X]&gt;","  -   ")</f>
        <v xml:space="preserve">  -   </v>
      </c>
      <c r="E192" s="39" t="str">
        <f>IF(AND('Paste here'!C183&gt;=113,'Paste here'!C183&lt;118),"&lt;[X]&gt;","  -   ")</f>
        <v xml:space="preserve">  -   </v>
      </c>
      <c r="F192" s="39" t="str">
        <f>IF(AND('Paste here'!C184&gt;=113,'Paste here'!C184&lt;118),"&lt;[X]&gt;","  -   ")</f>
        <v xml:space="preserve">  -   </v>
      </c>
      <c r="G192" s="39" t="str">
        <f>IF(AND('Paste here'!C185&gt;=113,'Paste here'!C185&lt;118),"&lt;[X]&gt;","  -   ")</f>
        <v xml:space="preserve">  -   </v>
      </c>
    </row>
    <row r="193" spans="1:10">
      <c r="A193" s="38" t="s">
        <v>40</v>
      </c>
      <c r="B193" s="39" t="str">
        <f>IF(AND('Paste here'!C180&gt;=108,'Paste here'!C180&lt;113),"&lt;[X]&gt;"," ---")</f>
        <v xml:space="preserve"> ---</v>
      </c>
      <c r="C193" s="39" t="str">
        <f>IF(AND('Paste here'!C181&gt;=108,'Paste here'!C181&lt;113),"&lt;[X]&gt;"," ---")</f>
        <v xml:space="preserve"> ---</v>
      </c>
      <c r="D193" s="39" t="str">
        <f>IF(AND('Paste here'!C182&gt;=108,'Paste here'!C182&lt;113),"&lt;[X]&gt;"," ---")</f>
        <v xml:space="preserve"> ---</v>
      </c>
      <c r="E193" s="39" t="str">
        <f>IF(AND('Paste here'!C183&gt;=108,'Paste here'!C183&lt;113),"&lt;[X]&gt;"," ---")</f>
        <v xml:space="preserve"> ---</v>
      </c>
      <c r="F193" s="39" t="str">
        <f>IF(AND('Paste here'!C184&gt;=108,'Paste here'!C184&lt;113),"&lt;[X]&gt;"," ---")</f>
        <v xml:space="preserve"> ---</v>
      </c>
      <c r="G193" s="39" t="str">
        <f>IF(AND('Paste here'!C185&gt;=108,'Paste here'!C185&lt;113),"&lt;[X]&gt;"," ---")</f>
        <v xml:space="preserve"> ---</v>
      </c>
    </row>
    <row r="194" spans="1:10">
      <c r="A194" s="38" t="s">
        <v>41</v>
      </c>
      <c r="B194" s="39" t="str">
        <f>IF(AND('Paste here'!C180&gt;=103,'Paste here'!C180&lt;108),"&lt;[X]&gt;","  -   ")</f>
        <v xml:space="preserve">  -   </v>
      </c>
      <c r="C194" s="39" t="str">
        <f>IF(AND('Paste here'!C181&gt;=103,'Paste here'!C181&lt;108),"&lt;[X]&gt;","  -   ")</f>
        <v xml:space="preserve">  -   </v>
      </c>
      <c r="D194" s="39" t="str">
        <f>IF(AND('Paste here'!C182&gt;=103,'Paste here'!C182&lt;108),"&lt;[X]&gt;","  -   ")</f>
        <v xml:space="preserve">  -   </v>
      </c>
      <c r="E194" s="39" t="str">
        <f>IF(AND('Paste here'!C183&gt;=103,'Paste here'!C183&lt;108),"&lt;[X]&gt;","  -   ")</f>
        <v xml:space="preserve">  -   </v>
      </c>
      <c r="F194" s="39" t="str">
        <f>IF(AND('Paste here'!C184&gt;=103,'Paste here'!C184&lt;108),"&lt;[X]&gt;","  -   ")</f>
        <v xml:space="preserve">  -   </v>
      </c>
      <c r="G194" s="39" t="str">
        <f>IF(AND('Paste here'!C185&gt;=103,'Paste here'!C185&lt;108),"&lt;[X]&gt;","  -   ")</f>
        <v xml:space="preserve">  -   </v>
      </c>
    </row>
    <row r="195" spans="1:10">
      <c r="A195" s="38" t="s">
        <v>42</v>
      </c>
      <c r="B195" s="39" t="str">
        <f>IF(AND('Paste here'!C180&gt;=98,'Paste here'!C180&lt;103),"&lt;[X]&gt;"," ---")</f>
        <v xml:space="preserve"> ---</v>
      </c>
      <c r="C195" s="39" t="str">
        <f>IF(AND('Paste here'!C181&gt;=98,'Paste here'!C181&lt;103),"&lt;[X]&gt;"," ---")</f>
        <v xml:space="preserve"> ---</v>
      </c>
      <c r="D195" s="39" t="str">
        <f>IF(AND('Paste here'!C182&gt;=98,'Paste here'!C182&lt;103),"&lt;[X]&gt;"," ---")</f>
        <v xml:space="preserve"> ---</v>
      </c>
      <c r="E195" s="39" t="str">
        <f>IF(AND('Paste here'!C183&gt;=98,'Paste here'!C183&lt;103),"&lt;[X]&gt;"," ---")</f>
        <v xml:space="preserve"> ---</v>
      </c>
      <c r="F195" s="39" t="str">
        <f>IF(AND('Paste here'!C184&gt;=98,'Paste here'!C184&lt;103),"&lt;[X]&gt;"," ---")</f>
        <v xml:space="preserve"> ---</v>
      </c>
      <c r="G195" s="39" t="str">
        <f>IF(AND('Paste here'!C185&gt;=98,'Paste here'!C185&lt;103),"&lt;[X]&gt;"," ---")</f>
        <v xml:space="preserve"> ---</v>
      </c>
    </row>
    <row r="196" spans="1:10">
      <c r="A196" s="38" t="s">
        <v>43</v>
      </c>
      <c r="B196" s="39" t="str">
        <f>IF(AND('Paste here'!C180&gt;=93,'Paste here'!C180&lt;98),"&lt;[X]&gt;","  -   ")</f>
        <v xml:space="preserve">  -   </v>
      </c>
      <c r="C196" s="39" t="str">
        <f>IF(AND('Paste here'!C181&gt;=93,'Paste here'!C181&lt;98),"&lt;[X]&gt;","  -   ")</f>
        <v xml:space="preserve">  -   </v>
      </c>
      <c r="D196" s="39" t="str">
        <f>IF(AND('Paste here'!C182&gt;=93,'Paste here'!C182&lt;98),"&lt;[X]&gt;","  -   ")</f>
        <v xml:space="preserve">  -   </v>
      </c>
      <c r="E196" s="39" t="str">
        <f>IF(AND('Paste here'!C183&gt;=93,'Paste here'!C183&lt;98),"&lt;[X]&gt;","  -   ")</f>
        <v xml:space="preserve">  -   </v>
      </c>
      <c r="F196" s="39" t="str">
        <f>IF(AND('Paste here'!C184&gt;=93,'Paste here'!C184&lt;98),"&lt;[X]&gt;","  -   ")</f>
        <v xml:space="preserve">  -   </v>
      </c>
      <c r="G196" s="39" t="str">
        <f>IF(AND('Paste here'!C185&gt;=93,'Paste here'!C185&lt;98),"&lt;[X]&gt;","  -   ")</f>
        <v xml:space="preserve">  -   </v>
      </c>
    </row>
    <row r="197" spans="1:10">
      <c r="A197" s="38" t="s">
        <v>44</v>
      </c>
      <c r="B197" s="39" t="str">
        <f>IF(AND('Paste here'!C180&gt;=88,'Paste here'!C180&lt;93),"&lt;[X]&gt;"," ---")</f>
        <v xml:space="preserve"> ---</v>
      </c>
      <c r="C197" s="39" t="str">
        <f>IF(AND('Paste here'!C181&gt;=88,'Paste here'!C181&lt;93),"&lt;[X]&gt;"," ---")</f>
        <v xml:space="preserve"> ---</v>
      </c>
      <c r="D197" s="39" t="str">
        <f>IF(AND('Paste here'!C182&gt;=88,'Paste here'!C182&lt;93),"&lt;[X]&gt;"," ---")</f>
        <v xml:space="preserve"> ---</v>
      </c>
      <c r="E197" s="39" t="str">
        <f>IF(AND('Paste here'!C183&gt;=88,'Paste here'!C183&lt;93),"&lt;[X]&gt;"," ---")</f>
        <v xml:space="preserve"> ---</v>
      </c>
      <c r="F197" s="39" t="str">
        <f>IF(AND('Paste here'!C184&gt;=88,'Paste here'!C184&lt;93),"&lt;[X]&gt;"," ---")</f>
        <v xml:space="preserve"> ---</v>
      </c>
      <c r="G197" s="39" t="str">
        <f>IF(AND('Paste here'!C185&gt;=88,'Paste here'!C185&lt;93),"&lt;[X]&gt;"," ---")</f>
        <v xml:space="preserve"> ---</v>
      </c>
    </row>
    <row r="198" spans="1:10">
      <c r="A198" s="38" t="s">
        <v>45</v>
      </c>
      <c r="B198" s="39" t="str">
        <f>IF(AND('Paste here'!C180&gt;=83,'Paste here'!C180&lt;88),"&lt;[X]&gt;","  -   ")</f>
        <v xml:space="preserve">  -   </v>
      </c>
      <c r="C198" s="39" t="str">
        <f>IF(AND('Paste here'!C181&gt;=83,'Paste here'!C181&lt;88),"&lt;[X]&gt;","  -   ")</f>
        <v xml:space="preserve">  -   </v>
      </c>
      <c r="D198" s="39" t="str">
        <f>IF(AND('Paste here'!C182&gt;=83,'Paste here'!C182&lt;88),"&lt;[X]&gt;","  -   ")</f>
        <v xml:space="preserve">  -   </v>
      </c>
      <c r="E198" s="39" t="str">
        <f>IF(AND('Paste here'!C183&gt;=83,'Paste here'!C183&lt;88),"&lt;[X]&gt;","  -   ")</f>
        <v xml:space="preserve">  -   </v>
      </c>
      <c r="F198" s="39" t="str">
        <f>IF(AND('Paste here'!C184&gt;=83,'Paste here'!C184&lt;88),"&lt;[X]&gt;","  -   ")</f>
        <v xml:space="preserve">  -   </v>
      </c>
      <c r="G198" s="39" t="str">
        <f>IF(AND('Paste here'!C185&gt;=83,'Paste here'!C185&lt;88),"&lt;[X]&gt;","  -   ")</f>
        <v xml:space="preserve">  -   </v>
      </c>
    </row>
    <row r="199" spans="1:10">
      <c r="A199" s="38" t="s">
        <v>47</v>
      </c>
      <c r="B199" s="39" t="str">
        <f>IF(AND('Paste here'!C180&gt;78,'Paste here'!C180&lt;83),"&lt;[X]&gt;"," ---")</f>
        <v xml:space="preserve"> ---</v>
      </c>
      <c r="C199" s="39" t="str">
        <f>IF(AND('Paste here'!C181&gt;78,'Paste here'!C181&lt;83),"&lt;[X]&gt;"," ---")</f>
        <v xml:space="preserve"> ---</v>
      </c>
      <c r="D199" s="39" t="str">
        <f>IF(AND('Paste here'!C182&gt;78,'Paste here'!C182&lt;83),"&lt;[X]&gt;"," ---")</f>
        <v xml:space="preserve"> ---</v>
      </c>
      <c r="E199" s="39" t="str">
        <f>IF(AND('Paste here'!C183&gt;78,'Paste here'!C183&lt;83),"&lt;[X]&gt;"," ---")</f>
        <v xml:space="preserve"> ---</v>
      </c>
      <c r="F199" s="39" t="str">
        <f>IF(AND('Paste here'!C184&gt;78,'Paste here'!C184&lt;83),"&lt;[X]&gt;"," ---")</f>
        <v xml:space="preserve"> ---</v>
      </c>
      <c r="G199" s="39" t="str">
        <f>IF(AND('Paste here'!C185&gt;78,'Paste here'!C185&lt;83),"&lt;[X]&gt;"," ---")</f>
        <v xml:space="preserve"> ---</v>
      </c>
    </row>
    <row r="200" spans="1:10">
      <c r="A200" s="38" t="s">
        <v>48</v>
      </c>
      <c r="B200" s="39" t="str">
        <f>IF(AND('Paste here'!C180&gt;=73,'Paste here'!C180&lt;78),"&lt;[X]&gt;","  -   ")</f>
        <v xml:space="preserve">  -   </v>
      </c>
      <c r="C200" s="39" t="str">
        <f>IF(AND('Paste here'!C181&gt;=73,'Paste here'!C181&lt;78),"&lt;[X]&gt;","  -   ")</f>
        <v xml:space="preserve">  -   </v>
      </c>
      <c r="D200" s="39" t="str">
        <f>IF(AND('Paste here'!C182&gt;=73,'Paste here'!C182&lt;78),"&lt;[X]&gt;","  -   ")</f>
        <v xml:space="preserve">  -   </v>
      </c>
      <c r="E200" s="39" t="str">
        <f>IF(AND('Paste here'!C183&gt;=73,'Paste here'!C183&lt;78),"&lt;[X]&gt;","  -   ")</f>
        <v xml:space="preserve">  -   </v>
      </c>
      <c r="F200" s="39" t="str">
        <f>IF(AND('Paste here'!C184&gt;=73,'Paste here'!C184&lt;78),"&lt;[X]&gt;","  -   ")</f>
        <v xml:space="preserve">  -   </v>
      </c>
      <c r="G200" s="39" t="str">
        <f>IF(AND('Paste here'!C185&gt;=73,'Paste here'!C185&lt;78),"&lt;[X]&gt;","  -   ")</f>
        <v xml:space="preserve">  -   </v>
      </c>
    </row>
    <row r="201" spans="1:10">
      <c r="A201" s="38" t="s">
        <v>49</v>
      </c>
      <c r="B201" s="39" t="str">
        <f>IF(AND('Paste here'!C180&gt;=68,'Paste here'!C180&lt;73),"&lt;[X]&gt;"," ---")</f>
        <v xml:space="preserve"> ---</v>
      </c>
      <c r="C201" s="39" t="str">
        <f>IF(AND('Paste here'!C181&gt;=68,'Paste here'!C181&lt;73),"&lt;[X]&gt;"," ---")</f>
        <v xml:space="preserve"> ---</v>
      </c>
      <c r="D201" s="39" t="str">
        <f>IF(AND('Paste here'!C182&gt;=68,'Paste here'!C182&lt;73),"&lt;[X]&gt;"," ---")</f>
        <v xml:space="preserve"> ---</v>
      </c>
      <c r="E201" s="39" t="str">
        <f>IF(AND('Paste here'!C183&gt;=68,'Paste here'!C183&lt;73),"&lt;[X]&gt;"," ---")</f>
        <v xml:space="preserve"> ---</v>
      </c>
      <c r="F201" s="39" t="str">
        <f>IF(AND('Paste here'!C184&gt;=68,'Paste here'!C184&lt;73),"&lt;[X]&gt;"," ---")</f>
        <v xml:space="preserve"> ---</v>
      </c>
      <c r="G201" s="39" t="str">
        <f>IF(AND('Paste here'!C185&gt;=68,'Paste here'!C185&lt;73),"&lt;[X]&gt;"," ---")</f>
        <v xml:space="preserve"> ---</v>
      </c>
    </row>
    <row r="202" spans="1:10">
      <c r="A202" s="38" t="s">
        <v>50</v>
      </c>
      <c r="B202" s="39" t="str">
        <f>IF(AND('Paste here'!C180&gt;=63,'Paste here'!C180&lt;68),"&lt;[X]&gt;","  -   ")</f>
        <v xml:space="preserve">  -   </v>
      </c>
      <c r="C202" s="39" t="str">
        <f>IF(AND('Paste here'!C181&gt;=63,'Paste here'!C181&lt;68),"&lt;[X]&gt;","  -   ")</f>
        <v xml:space="preserve">  -   </v>
      </c>
      <c r="D202" s="39" t="str">
        <f>IF(AND('Paste here'!C182&gt;=63,'Paste here'!C182&lt;68),"&lt;[X]&gt;","  -   ")</f>
        <v xml:space="preserve">  -   </v>
      </c>
      <c r="E202" s="39" t="str">
        <f>IF(AND('Paste here'!C183&gt;=63,'Paste here'!C183&lt;68),"&lt;[X]&gt;","  -   ")</f>
        <v xml:space="preserve">  -   </v>
      </c>
      <c r="F202" s="39" t="str">
        <f>IF(AND('Paste here'!C184&gt;=63,'Paste here'!C184&lt;68),"&lt;[X]&gt;","  -   ")</f>
        <v xml:space="preserve">  -   </v>
      </c>
      <c r="G202" s="39" t="str">
        <f>IF(AND('Paste here'!C185&gt;=63,'Paste here'!C185&lt;68),"&lt;[X]&gt;","  -   ")</f>
        <v xml:space="preserve">  -   </v>
      </c>
    </row>
    <row r="203" spans="1:10">
      <c r="A203" s="38" t="s">
        <v>46</v>
      </c>
      <c r="B203" s="39" t="str">
        <f>IF('Paste here'!C180&lt;63,"&lt;[X]&gt;"," ---")</f>
        <v>&lt;[X]&gt;</v>
      </c>
      <c r="C203" s="39" t="str">
        <f>IF('Paste here'!C181&lt;63,"&lt;[X]&gt;"," ---")</f>
        <v>&lt;[X]&gt;</v>
      </c>
      <c r="D203" s="39" t="str">
        <f>IF('Paste here'!C182&lt;63,"&lt;[X]&gt;"," ---")</f>
        <v>&lt;[X]&gt;</v>
      </c>
      <c r="E203" s="39" t="str">
        <f>IF('Paste here'!C183&lt;63,"&lt;[X]&gt;"," ---")</f>
        <v>&lt;[X]&gt;</v>
      </c>
      <c r="F203" s="39" t="str">
        <f>IF('Paste here'!C184&lt;63,"&lt;[X]&gt;"," ---")</f>
        <v>&lt;[X]&gt;</v>
      </c>
      <c r="G203" s="39" t="str">
        <f>IF('Paste here'!C185&lt;63,"&lt;[X]&gt;"," ---")</f>
        <v>&lt;[X]&gt;</v>
      </c>
    </row>
    <row r="204" spans="1:10" ht="14">
      <c r="A204" s="41" t="s">
        <v>142</v>
      </c>
      <c r="B204" s="47"/>
      <c r="C204" s="47"/>
      <c r="D204" s="47"/>
      <c r="E204" s="47"/>
      <c r="F204" s="47"/>
      <c r="G204" s="47"/>
      <c r="H204" s="11"/>
      <c r="J204" s="1" t="str">
        <f t="shared" si="2"/>
        <v/>
      </c>
    </row>
    <row r="205" spans="1:10" ht="13" customHeight="1">
      <c r="A205" s="12"/>
      <c r="B205" s="50" t="s">
        <v>62</v>
      </c>
      <c r="C205" s="50" t="s">
        <v>61</v>
      </c>
      <c r="D205" s="50" t="s">
        <v>60</v>
      </c>
      <c r="E205" s="50" t="s">
        <v>59</v>
      </c>
      <c r="F205" s="50" t="s">
        <v>55</v>
      </c>
      <c r="G205" s="57" t="s">
        <v>56</v>
      </c>
      <c r="H205" s="11"/>
      <c r="J205" s="1" t="str">
        <f t="shared" si="2"/>
        <v/>
      </c>
    </row>
    <row r="206" spans="1:10">
      <c r="A206" s="12"/>
      <c r="B206" s="50" t="s">
        <v>51</v>
      </c>
      <c r="C206" s="50" t="s">
        <v>53</v>
      </c>
      <c r="D206" s="50" t="s">
        <v>54</v>
      </c>
      <c r="E206" s="50" t="s">
        <v>54</v>
      </c>
      <c r="F206" s="50" t="s">
        <v>58</v>
      </c>
      <c r="G206" s="57" t="s">
        <v>57</v>
      </c>
      <c r="H206" s="11"/>
      <c r="J206" s="1" t="str">
        <f t="shared" si="2"/>
        <v/>
      </c>
    </row>
    <row r="207" spans="1:10">
      <c r="A207" s="12"/>
      <c r="B207" s="59"/>
      <c r="C207" s="50" t="s">
        <v>54</v>
      </c>
      <c r="D207" s="43"/>
      <c r="E207" s="43"/>
      <c r="F207" s="43"/>
      <c r="G207" s="43"/>
      <c r="H207" s="10"/>
      <c r="I207" s="9"/>
      <c r="J207" s="1" t="str">
        <f t="shared" si="2"/>
        <v/>
      </c>
    </row>
    <row r="208" spans="1:10" ht="14">
      <c r="A208" s="59"/>
      <c r="B208" s="47"/>
      <c r="C208" s="47"/>
      <c r="D208" s="47"/>
      <c r="E208" s="47"/>
      <c r="F208" s="47"/>
      <c r="G208" s="47"/>
      <c r="H208" s="6"/>
      <c r="J208" s="1" t="str">
        <f t="shared" si="2"/>
        <v/>
      </c>
    </row>
    <row r="209" spans="1:10" ht="14">
      <c r="A209" s="59"/>
      <c r="B209" s="47"/>
      <c r="C209" s="47"/>
      <c r="D209" s="47"/>
      <c r="E209" s="47"/>
      <c r="F209" s="47"/>
      <c r="G209" s="47"/>
      <c r="H209" s="6"/>
      <c r="J209" s="1" t="str">
        <f t="shared" si="2"/>
        <v/>
      </c>
    </row>
    <row r="224" spans="1:10">
      <c r="B224" s="40"/>
      <c r="C224" s="40"/>
      <c r="D224" s="40"/>
      <c r="E224" s="40"/>
      <c r="F224" s="40"/>
    </row>
    <row r="225" spans="2:6">
      <c r="B225" s="40"/>
      <c r="C225" s="40"/>
      <c r="D225" s="40"/>
      <c r="E225" s="40"/>
      <c r="F225" s="40"/>
    </row>
    <row r="226" spans="2:6">
      <c r="B226" s="40"/>
      <c r="C226" s="40"/>
      <c r="D226" s="40"/>
      <c r="E226" s="40"/>
      <c r="F226" s="40"/>
    </row>
    <row r="227" spans="2:6">
      <c r="B227" s="40"/>
      <c r="C227" s="40"/>
      <c r="D227" s="40"/>
      <c r="E227" s="40"/>
      <c r="F227" s="40"/>
    </row>
    <row r="1048567" spans="1:6">
      <c r="A1048567" s="76"/>
      <c r="B1048567" s="76"/>
      <c r="C1048567" s="76"/>
      <c r="D1048567" s="40"/>
      <c r="E1048567" s="40"/>
      <c r="F1048567" s="40"/>
    </row>
  </sheetData>
  <protectedRanges>
    <protectedRange sqref="B158:B180" name="Range1"/>
  </protectedRanges>
  <mergeCells count="187">
    <mergeCell ref="E13:G13"/>
    <mergeCell ref="E14:G14"/>
    <mergeCell ref="E15:G15"/>
    <mergeCell ref="E16:G16"/>
    <mergeCell ref="E17:G17"/>
    <mergeCell ref="A1048567:C1048567"/>
    <mergeCell ref="E1:G1"/>
    <mergeCell ref="E2:G2"/>
    <mergeCell ref="E3:G3"/>
    <mergeCell ref="E4:G4"/>
    <mergeCell ref="E5:G5"/>
    <mergeCell ref="E6:G6"/>
    <mergeCell ref="E7:G7"/>
    <mergeCell ref="E8:G8"/>
    <mergeCell ref="E9:G9"/>
    <mergeCell ref="E10:G10"/>
    <mergeCell ref="E11:G11"/>
    <mergeCell ref="E12:G12"/>
    <mergeCell ref="E23:G23"/>
    <mergeCell ref="E24:G24"/>
    <mergeCell ref="E25:G25"/>
    <mergeCell ref="E26:G26"/>
    <mergeCell ref="E27:G27"/>
    <mergeCell ref="E18:G18"/>
    <mergeCell ref="E19:G19"/>
    <mergeCell ref="E20:G20"/>
    <mergeCell ref="E21:G21"/>
    <mergeCell ref="E22:G22"/>
    <mergeCell ref="E33:G33"/>
    <mergeCell ref="E34:G34"/>
    <mergeCell ref="E35:G35"/>
    <mergeCell ref="E36:G36"/>
    <mergeCell ref="E37:G37"/>
    <mergeCell ref="E28:G28"/>
    <mergeCell ref="E29:G29"/>
    <mergeCell ref="E30:G30"/>
    <mergeCell ref="E31:G31"/>
    <mergeCell ref="E32:G32"/>
    <mergeCell ref="E43:G43"/>
    <mergeCell ref="E44:G44"/>
    <mergeCell ref="E45:G45"/>
    <mergeCell ref="E46:G46"/>
    <mergeCell ref="E47:G47"/>
    <mergeCell ref="E38:G38"/>
    <mergeCell ref="E39:G39"/>
    <mergeCell ref="E40:G40"/>
    <mergeCell ref="E41:G41"/>
    <mergeCell ref="E42:G42"/>
    <mergeCell ref="E53:G53"/>
    <mergeCell ref="E54:G54"/>
    <mergeCell ref="E55:G55"/>
    <mergeCell ref="E56:G56"/>
    <mergeCell ref="E57:G57"/>
    <mergeCell ref="E48:G48"/>
    <mergeCell ref="E49:G49"/>
    <mergeCell ref="E50:G50"/>
    <mergeCell ref="E51:G51"/>
    <mergeCell ref="E52:G52"/>
    <mergeCell ref="E63:G63"/>
    <mergeCell ref="E64:G64"/>
    <mergeCell ref="E65:G65"/>
    <mergeCell ref="E66:G66"/>
    <mergeCell ref="E67:G67"/>
    <mergeCell ref="E58:G58"/>
    <mergeCell ref="E59:G59"/>
    <mergeCell ref="E60:G60"/>
    <mergeCell ref="E61:G61"/>
    <mergeCell ref="E62:G62"/>
    <mergeCell ref="E73:G73"/>
    <mergeCell ref="E74:G74"/>
    <mergeCell ref="E75:G75"/>
    <mergeCell ref="E76:G76"/>
    <mergeCell ref="E77:G77"/>
    <mergeCell ref="E68:G68"/>
    <mergeCell ref="E69:G69"/>
    <mergeCell ref="E70:G70"/>
    <mergeCell ref="E71:G71"/>
    <mergeCell ref="E72:G72"/>
    <mergeCell ref="E83:G83"/>
    <mergeCell ref="E84:G84"/>
    <mergeCell ref="E85:G85"/>
    <mergeCell ref="E86:G86"/>
    <mergeCell ref="E87:G87"/>
    <mergeCell ref="E78:G78"/>
    <mergeCell ref="E79:G79"/>
    <mergeCell ref="E80:G80"/>
    <mergeCell ref="E81:G81"/>
    <mergeCell ref="E82:G82"/>
    <mergeCell ref="E93:G93"/>
    <mergeCell ref="E94:G94"/>
    <mergeCell ref="E95:G95"/>
    <mergeCell ref="E96:G96"/>
    <mergeCell ref="E97:G97"/>
    <mergeCell ref="E88:G88"/>
    <mergeCell ref="E89:G89"/>
    <mergeCell ref="E90:G90"/>
    <mergeCell ref="E91:G91"/>
    <mergeCell ref="E92:G92"/>
    <mergeCell ref="E103:G103"/>
    <mergeCell ref="E104:G104"/>
    <mergeCell ref="E105:G105"/>
    <mergeCell ref="E106:G106"/>
    <mergeCell ref="E107:G107"/>
    <mergeCell ref="E98:G98"/>
    <mergeCell ref="E99:G99"/>
    <mergeCell ref="E100:G100"/>
    <mergeCell ref="E101:G101"/>
    <mergeCell ref="E102:G102"/>
    <mergeCell ref="E113:G113"/>
    <mergeCell ref="E114:G114"/>
    <mergeCell ref="E115:G115"/>
    <mergeCell ref="E116:G116"/>
    <mergeCell ref="E117:G117"/>
    <mergeCell ref="E108:G108"/>
    <mergeCell ref="E109:G109"/>
    <mergeCell ref="E110:G110"/>
    <mergeCell ref="E111:G111"/>
    <mergeCell ref="E112:G112"/>
    <mergeCell ref="E123:G123"/>
    <mergeCell ref="E124:G124"/>
    <mergeCell ref="E125:G125"/>
    <mergeCell ref="E126:G126"/>
    <mergeCell ref="E127:G127"/>
    <mergeCell ref="E118:G118"/>
    <mergeCell ref="E119:G119"/>
    <mergeCell ref="E120:G120"/>
    <mergeCell ref="E121:G121"/>
    <mergeCell ref="E122:G122"/>
    <mergeCell ref="E133:G133"/>
    <mergeCell ref="E134:G134"/>
    <mergeCell ref="E135:G135"/>
    <mergeCell ref="E136:G136"/>
    <mergeCell ref="E137:G137"/>
    <mergeCell ref="E128:G128"/>
    <mergeCell ref="E129:G129"/>
    <mergeCell ref="E130:G130"/>
    <mergeCell ref="E131:G131"/>
    <mergeCell ref="E132:G132"/>
    <mergeCell ref="E143:G143"/>
    <mergeCell ref="E144:G144"/>
    <mergeCell ref="E145:G145"/>
    <mergeCell ref="E146:G146"/>
    <mergeCell ref="E147:G147"/>
    <mergeCell ref="E138:G138"/>
    <mergeCell ref="E139:G139"/>
    <mergeCell ref="E140:G140"/>
    <mergeCell ref="E141:G141"/>
    <mergeCell ref="E142:G142"/>
    <mergeCell ref="E153:G153"/>
    <mergeCell ref="E154:G154"/>
    <mergeCell ref="E155:G155"/>
    <mergeCell ref="E156:G156"/>
    <mergeCell ref="E157:G157"/>
    <mergeCell ref="E148:G148"/>
    <mergeCell ref="E149:G149"/>
    <mergeCell ref="E150:G150"/>
    <mergeCell ref="E151:G151"/>
    <mergeCell ref="E152:G152"/>
    <mergeCell ref="E163:G163"/>
    <mergeCell ref="E164:G164"/>
    <mergeCell ref="E165:G165"/>
    <mergeCell ref="E166:G166"/>
    <mergeCell ref="E167:G167"/>
    <mergeCell ref="E158:G158"/>
    <mergeCell ref="E159:G159"/>
    <mergeCell ref="E160:G160"/>
    <mergeCell ref="E161:G161"/>
    <mergeCell ref="E162:G162"/>
    <mergeCell ref="E173:G173"/>
    <mergeCell ref="E174:G174"/>
    <mergeCell ref="E175:G175"/>
    <mergeCell ref="E176:G176"/>
    <mergeCell ref="E177:G177"/>
    <mergeCell ref="E168:G168"/>
    <mergeCell ref="E169:G169"/>
    <mergeCell ref="E170:G170"/>
    <mergeCell ref="E171:G171"/>
    <mergeCell ref="E172:G172"/>
    <mergeCell ref="E183:G183"/>
    <mergeCell ref="E184:G184"/>
    <mergeCell ref="E185:G185"/>
    <mergeCell ref="E186:G186"/>
    <mergeCell ref="E178:G178"/>
    <mergeCell ref="E179:G179"/>
    <mergeCell ref="E180:G180"/>
    <mergeCell ref="E181:G181"/>
    <mergeCell ref="E182:G182"/>
  </mergeCells>
  <pageMargins left="0.7" right="0.7" top="0.75" bottom="0.75" header="0.3" footer="0.3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Paste here</vt:lpstr>
      <vt:lpstr>COPY FROM HERE</vt:lpstr>
    </vt:vector>
  </TitlesOfParts>
  <Company>Department of Veterans Affairs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VHABALTestaS</dc:creator>
  <cp:lastModifiedBy>S Marc Testa</cp:lastModifiedBy>
  <dcterms:created xsi:type="dcterms:W3CDTF">2011-03-07T20:33:09Z</dcterms:created>
  <dcterms:modified xsi:type="dcterms:W3CDTF">2014-04-01T17:47:34Z</dcterms:modified>
</cp:coreProperties>
</file>